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charts/chart1.xml" ContentType="application/vnd.openxmlformats-officedocument.drawingml.chart+xml"/>
  <Override PartName="/xl/charts/chart2.xml" ContentType="application/vnd.openxmlformats-officedocument.drawingml.chart+xml"/>
  <Override PartName="/xl/charts/chart3.xml" ContentType="application/vnd.openxmlformats-officedocument.drawingml.chart+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fileVersion appName="xl" lastEdited="5" lowestEdited="5" rupBuild="9303"/>
  <workbookPr/>
  <bookViews>
    <workbookView xWindow="130" yWindow="490" windowWidth="18880" windowHeight="8740" activeTab="4"/>
  </bookViews>
  <sheets>
    <sheet name="Нұсқау" sheetId="1" r:id="rId1"/>
    <sheet name="1-тәжірибе" sheetId="2" r:id="rId2"/>
    <sheet name="2-тәжірибе" sheetId="3" r:id="rId3"/>
    <sheet name="3-тәжірибе" sheetId="4" r:id="rId4"/>
    <sheet name="Қорытынды" sheetId="5" r:id="rId5"/>
  </sheets>
  <calcPr calcId="145621"/>
</workbook>
</file>

<file path=xl/calcChain.xml><?xml version="1.0" encoding="utf-8"?>
<calcChain xmlns="http://schemas.openxmlformats.org/spreadsheetml/2006/main">
  <c r="D31" i="5" l="1"/>
  <c r="C31" i="5"/>
  <c r="B31" i="5"/>
  <c r="D30" i="5"/>
  <c r="C30" i="5"/>
  <c r="B30" i="5"/>
  <c r="D29" i="5"/>
  <c r="C29" i="5"/>
  <c r="B29" i="5"/>
  <c r="D28" i="5"/>
  <c r="C28" i="5"/>
  <c r="B28" i="5"/>
  <c r="D24" i="5"/>
  <c r="C24" i="5"/>
  <c r="B24" i="5"/>
  <c r="D23" i="5"/>
  <c r="C23" i="5"/>
  <c r="B23" i="5"/>
  <c r="D22" i="5"/>
  <c r="C22" i="5"/>
  <c r="B22" i="5"/>
  <c r="D18" i="5"/>
  <c r="C18" i="5"/>
  <c r="B18" i="5"/>
  <c r="D17" i="5"/>
  <c r="C17" i="5"/>
  <c r="B17" i="5"/>
  <c r="D16" i="5"/>
  <c r="C16" i="5"/>
  <c r="B16" i="5"/>
  <c r="D15" i="5"/>
  <c r="C15" i="5"/>
  <c r="B15" i="5"/>
  <c r="D11" i="5"/>
  <c r="C11" i="5"/>
  <c r="B11" i="5"/>
  <c r="D10" i="5"/>
  <c r="C10" i="5"/>
  <c r="B10" i="5"/>
  <c r="D9" i="5"/>
  <c r="C9" i="5"/>
  <c r="B9" i="5"/>
  <c r="D8" i="5"/>
  <c r="C8" i="5"/>
  <c r="B8" i="5"/>
  <c r="E30" i="5" l="1"/>
  <c r="E31" i="5"/>
  <c r="E28" i="5"/>
  <c r="E29" i="5"/>
  <c r="E23" i="5"/>
  <c r="E24" i="5"/>
  <c r="E22" i="5"/>
  <c r="E10" i="5"/>
  <c r="E18" i="5"/>
  <c r="E16" i="5"/>
  <c r="E17" i="5"/>
  <c r="E15" i="5"/>
  <c r="E9" i="5"/>
  <c r="E8" i="5"/>
  <c r="E11" i="5"/>
</calcChain>
</file>

<file path=xl/sharedStrings.xml><?xml version="1.0" encoding="utf-8"?>
<sst xmlns="http://schemas.openxmlformats.org/spreadsheetml/2006/main" count="428" uniqueCount="330">
  <si>
    <t>ТӘЖІРИБЕ КЕСТЕСІН ТОЛТЫРУ НҰСҚАУЫ</t>
  </si>
  <si>
    <t>Сары ұяшықтарды ғана толтырыңыз. Қалған ұяшықтар мен «Қорытынды» парағы өздігінен есептеледі.</t>
  </si>
  <si>
    <t>1. Үш ЖИ құралын таңдаңыз да, «Қорытынды» парағының жоғарғы жағына атауы мен нұсқасын жазыңыз (ЖИ-1, ЖИ-2, ЖИ-3).</t>
  </si>
  <si>
    <t>2. Әр сұраныстың алдында жаңа чат ашыңыз (алдыңғы сұрақ жауапқа әсер етпеуі үшін). Сұранысты өзгертпей көшіріп қойыңыз.</t>
  </si>
  <si>
    <t>3. ЖИ жауабын қысқартып (1–2 сөйлем) «жауабы» бағанына жазыңыз, толық жауаптың скриншотын сақтаңыз (файл атауы: ЖИ1_Т01.png).</t>
  </si>
  <si>
    <t>4. Жауапты сөздік мағынасымен салыстырып, балл қойыңыз: 2 – дұрыс, 1 – жартылай дұрыс, 0 – қате.</t>
  </si>
  <si>
    <t>5. Балл 0 немесе 1 болса, қате түрін белгілеңіз: С – сөзбе-сөз, Б – басқа мағына, О – ойдан шығару, Ж – жалпылама.</t>
  </si>
  <si>
    <t>6. 3-тәжірибеде ЖИ атаған әр тіркесті Кеңесбаев сөздігінен және жұмыстың А қосымшасынан іздеңіз, код қойыңыз: Н, М, Ж, Т.</t>
  </si>
  <si>
    <t>7. Күмәнді жауапты ғылыми жетекшімен бірге қайта тексеріп, шешімді зерттеу күнделігіне жазыңыз.</t>
  </si>
  <si>
    <t>8. Сұраныстарға есіміңізді, мектебіңізді және басқа жеке деректерді жазбаңыз.</t>
  </si>
  <si>
    <t>Сұраныс үлгілері:</t>
  </si>
  <si>
    <t>1-тәжірибе: «…» деген тұрақты тіркестің мағынасы қандай? Қысқаша түсіндіріп, бір мысал сөйлем келтір.</t>
  </si>
  <si>
    <t>2-тәжірибе: «…» деген тұрақты тіркеске мағынасы қарама-қарсы / жақын қазақша тұрақты тіркес ата.</t>
  </si>
  <si>
    <t>3-тәжірибе: «…» мағынасын беретін қазақ тіліндегі 5 тұрақты тіркес (фразеологизм) жаз.</t>
  </si>
  <si>
    <t>Бағалау шкаласы:</t>
  </si>
  <si>
    <t>2 – Дұрыс: Мағынасы сөздікпен сәйкес келеді, мысал сөйлем орынды</t>
  </si>
  <si>
    <t>1 – Жартылай дұрыс: Мағынасына жақын, бірақ дәл емес, тым жалпы немесе артық мағына қосылған</t>
  </si>
  <si>
    <t>0 – Қате: Мағынасы сөздікке сәйкес келмейді</t>
  </si>
  <si>
    <t>Қате түрлері:</t>
  </si>
  <si>
    <t>С – Сөзбе-сөз түсіндіру: Тіркесті құрамындағы сөздердің тура мағынасымен түсіндіреді</t>
  </si>
  <si>
    <t>Б – Басқа мағына беру: Бейнелі мағына береді, бірақ ол сөздіктегі мағына емес</t>
  </si>
  <si>
    <t>О – Ойдан шығару: Жоқ тарихты, жоқ тіркесті немесе жоқ дереккөзді «жасап» шығарады</t>
  </si>
  <si>
    <t>Ж – Жалпылама жауап: Мағынаның бір бөлігін ғана береді немесе нақты айтпайды</t>
  </si>
  <si>
    <t>3-тәжірибе кодтары:</t>
  </si>
  <si>
    <t>Н – Нақты тіркес, мағынасы дұрыс: Сөздікте бар, сұралған мағыналық топқа сәйкес</t>
  </si>
  <si>
    <t>М – Нақты тіркес, мағынасы басқа: Сөздікте бар, бірақ сұралған мағынаға сәйкес емес</t>
  </si>
  <si>
    <t>Ж – Жоқ тіркес: Сөздіктерде кездеспейді, ЖИ өзі құрастырған немесе орыс/ағылшын тілінен аударған</t>
  </si>
  <si>
    <t>Т – Тұрақты тіркес емес: Жай сөз немесе еркін сөз тіркесі (мысалы, «өте жылдам»)</t>
  </si>
  <si>
    <t>№</t>
  </si>
  <si>
    <t>Топ</t>
  </si>
  <si>
    <t>Тіркес</t>
  </si>
  <si>
    <t>Сөздіктегі мағынасы</t>
  </si>
  <si>
    <t>ЖИ-1 жауабы (қысқаша)</t>
  </si>
  <si>
    <t>ЖИ-1 балл</t>
  </si>
  <si>
    <t>ЖИ-1 қате түрі</t>
  </si>
  <si>
    <t>ЖИ-2 жауабы (қысқаша)</t>
  </si>
  <si>
    <t>ЖИ-2 балл</t>
  </si>
  <si>
    <t>ЖИ-2 қате түрі</t>
  </si>
  <si>
    <t>ЖИ-3 жауабы (қысқаша)</t>
  </si>
  <si>
    <t>ЖИ-3 балл</t>
  </si>
  <si>
    <t>ЖИ-3 қате түрі</t>
  </si>
  <si>
    <t>А</t>
  </si>
  <si>
    <t>Екі езуі екі құлағына жету</t>
  </si>
  <si>
    <t>қатты қуану</t>
  </si>
  <si>
    <t>Бармағын тістеді</t>
  </si>
  <si>
    <t>өкінді</t>
  </si>
  <si>
    <t>Көзді ашып-жұмғанша</t>
  </si>
  <si>
    <t>өте тез</t>
  </si>
  <si>
    <t>Жұмған аузын ашпау</t>
  </si>
  <si>
    <t>үндемеу, сөйлемеу</t>
  </si>
  <si>
    <t>Құлағын түру</t>
  </si>
  <si>
    <t>мұқият тыңдау, назар салу</t>
  </si>
  <si>
    <t>Кірпік қақпау</t>
  </si>
  <si>
    <t>ұйықтамау</t>
  </si>
  <si>
    <t>Жүрегі аузына тығылды</t>
  </si>
  <si>
    <t>қатты толқыды, қорықты</t>
  </si>
  <si>
    <t>Бас изеді</t>
  </si>
  <si>
    <t>келісті</t>
  </si>
  <si>
    <t>Қолы ашық</t>
  </si>
  <si>
    <t>жомарт</t>
  </si>
  <si>
    <t>Бетінен оты шықты</t>
  </si>
  <si>
    <t>қатты ұялды</t>
  </si>
  <si>
    <t>Ә</t>
  </si>
  <si>
    <t>Арасынан қыл өтпейді</t>
  </si>
  <si>
    <t>өте тату</t>
  </si>
  <si>
    <t>Қой аузынан шөп алмас</t>
  </si>
  <si>
    <t>момын, жуас</t>
  </si>
  <si>
    <t>Ине шаншар жер жоқ</t>
  </si>
  <si>
    <t>лық толы, бос орын жоқ</t>
  </si>
  <si>
    <t>Инемен құдық қазғандай</t>
  </si>
  <si>
    <t>өте қиын, ауыр, ұзақ іс</t>
  </si>
  <si>
    <t>Кірерге тесік таппау</t>
  </si>
  <si>
    <t>қатты ұялу</t>
  </si>
  <si>
    <t>Алақанның аясындай</t>
  </si>
  <si>
    <t>тар, кішкентай жер</t>
  </si>
  <si>
    <t>Құлаққа ұрған танадай</t>
  </si>
  <si>
    <t>тып-тыныш</t>
  </si>
  <si>
    <t>Аузын буған өгіздей</t>
  </si>
  <si>
    <t>үндемейтін адам</t>
  </si>
  <si>
    <t>Жүрегінің түгі бар</t>
  </si>
  <si>
    <t>батыр, қорықпайтын</t>
  </si>
  <si>
    <t>Жұмыртқадан жүн қырыққан</t>
  </si>
  <si>
    <t>қу, айлакер</t>
  </si>
  <si>
    <t>Б</t>
  </si>
  <si>
    <t>Ақ киізге көтерді</t>
  </si>
  <si>
    <t>хан сайлады</t>
  </si>
  <si>
    <t>Асығы алшысынан түсті</t>
  </si>
  <si>
    <t>жолы болды</t>
  </si>
  <si>
    <t>Ит басына іркіт төгілу</t>
  </si>
  <si>
    <t>молшылық орнау</t>
  </si>
  <si>
    <t>Қой үстіне бозторғай жұмыртқалау</t>
  </si>
  <si>
    <t>тыныш, бейбіт заман орнау</t>
  </si>
  <si>
    <t>Есек құрты мұртына түсу</t>
  </si>
  <si>
    <t>баю</t>
  </si>
  <si>
    <t>Ит терісін басына қаптау</t>
  </si>
  <si>
    <t>қатты ұрысу, балағаттау</t>
  </si>
  <si>
    <t>Жер қаптыру</t>
  </si>
  <si>
    <t>алдау</t>
  </si>
  <si>
    <t>Ит өлген жер</t>
  </si>
  <si>
    <t>өте алыс жер</t>
  </si>
  <si>
    <t>Айдарынан жел есу</t>
  </si>
  <si>
    <t>асқақтап, дәурен сүру</t>
  </si>
  <si>
    <t>Қара есекке теріс мінгізу</t>
  </si>
  <si>
    <t>масқаралау, ел алдында ұятқа қалдыру</t>
  </si>
  <si>
    <t>Тапсырма</t>
  </si>
  <si>
    <t>Берілген тіркес</t>
  </si>
  <si>
    <t>Сөздіктегі жауап</t>
  </si>
  <si>
    <t>ЖИ-1 атаған тіркес</t>
  </si>
  <si>
    <t>ЖИ-2 атаған тіркес</t>
  </si>
  <si>
    <t>ЖИ-3 атаған тіркес</t>
  </si>
  <si>
    <t>антоним</t>
  </si>
  <si>
    <t>Беті бүлк етпеді (ұялды – ұялмады)</t>
  </si>
  <si>
    <t>Ажары сынды</t>
  </si>
  <si>
    <t>Қуанышы қойнына сыймады (мұңайды – қуанды)</t>
  </si>
  <si>
    <t>Қолы қолына жұқпады</t>
  </si>
  <si>
    <t>Саусағының ұшын қимылдатпады (тез қимылдады – ештеңе істемеді)</t>
  </si>
  <si>
    <t>синоним</t>
  </si>
  <si>
    <t>Үріп ауызға салғандай</t>
  </si>
  <si>
    <t>Қыздың жиған жүгіндей (сұлу, әдемі)</t>
  </si>
  <si>
    <t>Ит арқасы қиянда; Жер түбі (алыс, шалғай)</t>
  </si>
  <si>
    <t>Ит терісін басына қаптады</t>
  </si>
  <si>
    <t>Жерден алып, жерге салды (ұрысты, сөкті)</t>
  </si>
  <si>
    <t>Балл: 2 – нақты тұрақты тіркес әрі мағынасы дұрыс; 1 – мағынасы дұрыс, бірақ тұрақты тіркес емес (жай сөз); 0 – қате немесе жоқ тіркес.</t>
  </si>
  <si>
    <t>Мағыналық топ</t>
  </si>
  <si>
    <t>ЖИ-1 код</t>
  </si>
  <si>
    <t>ЖИ-2 код</t>
  </si>
  <si>
    <t>ЖИ-3 код</t>
  </si>
  <si>
    <t>ТЕЗ, ШАПШАҢ</t>
  </si>
  <si>
    <t>АЛЫС ЖЕР</t>
  </si>
  <si>
    <t>ЖАҚЫН ЖЕР</t>
  </si>
  <si>
    <t>КӨП (адам, әскер)</t>
  </si>
  <si>
    <t>КЕШКІ УАҚЫТ, ЫМЫРТ</t>
  </si>
  <si>
    <t>ЖИ құралдары (атауы, нұсқасы, тексеру күні)</t>
  </si>
  <si>
    <t>ЖИ-2</t>
  </si>
  <si>
    <t>ЖИ-3</t>
  </si>
  <si>
    <t>1-тәжірибе: сапа көрсеткіші, % (жинаған балл ÷ ең жоғары балл × 100)</t>
  </si>
  <si>
    <t>Орташа</t>
  </si>
  <si>
    <t>А – Мөлдір бейнелі тіркестер</t>
  </si>
  <si>
    <t>Ә – Астарлы бейнелі тіркестер</t>
  </si>
  <si>
    <t>Б – Ұлттық-мәдени тіркестер</t>
  </si>
  <si>
    <t>Барлық 30 тіркес</t>
  </si>
  <si>
    <t>1-тәжірибе: қате түрлерінің саны</t>
  </si>
  <si>
    <t>Қате түрі</t>
  </si>
  <si>
    <t>Барлығы</t>
  </si>
  <si>
    <t>С – Сөзбе-сөз түсіндіру</t>
  </si>
  <si>
    <t>Б – Басқа мағына беру</t>
  </si>
  <si>
    <t>О – Ойдан шығару</t>
  </si>
  <si>
    <t>Ж – Жалпылама жауап</t>
  </si>
  <si>
    <t>2-тәжірибе: жинаған балл (ең жоғары – 12)</t>
  </si>
  <si>
    <t>Антоним табу (ең жоғары – 6)</t>
  </si>
  <si>
    <t>Синоним табу (ең жоғары – 6)</t>
  </si>
  <si>
    <t>Барлығы (ең жоғары – 12)</t>
  </si>
  <si>
    <t>3-тәжірибе: ЖИ атаған 25 тіркестің құрамы</t>
  </si>
  <si>
    <t>Код</t>
  </si>
  <si>
    <t>Н – Нақты тіркес, мағынасы дұрыс</t>
  </si>
  <si>
    <t>М – Нақты тіркес, мағынасы басқа</t>
  </si>
  <si>
    <t>Ж – Жоқ тіркес</t>
  </si>
  <si>
    <t>Т – Тұрақты тіркес емес</t>
  </si>
  <si>
    <t>қатты қуану, мәз болып күлу деген мағынаны білдіреді.</t>
  </si>
  <si>
    <t>адамның өте қуанышты, мәз-мейрам болған күйін, яғни қатты күлуін, қуаныштан аузы құлағына жеткендей болуын білдіреді.</t>
  </si>
  <si>
    <t>Бұл тұрақты тіркес адамның қатты қуанғанын, мәз болып, шаттанғанын білдіреді (адам қатты күлгенде немесе жымиғанда аузының езуі кең созылатынына негізделген).</t>
  </si>
  <si>
    <t>Бұл тұрақты тіркес жіберіп алған мүмкіндікке немесе жасаған қателігіне қатты өкінуді, өкініш білдіруді білдіреді.</t>
  </si>
  <si>
    <t>адамның қатты өкінгенін, амалсыздан қынжылғанын, я болмаса бір нәрсеге таңырқап, таңдай қаққанын білдіреді. Көбінесе өкініш, өшпенділік немесе қызығушылық мәнінде қолданылады.</t>
  </si>
  <si>
    <t>қатты өкінді деген мағынаны білдіреді.</t>
  </si>
  <si>
    <t>өте тез, қас қағым сәтте деген мағынаны білдіреді.</t>
  </si>
  <si>
    <t>тіркес өте қысқа уақытты, лезде, тез болғандықты білдіреді. Яғни бір нәрсенің көз ашып-жұмған аралығындай жылдам жүзеге асқанын сипаттайды.</t>
  </si>
  <si>
    <t>іс-әрекеттің өте жылдам, лезде, қас-қағым сәтте орын алғанын білдіреді.</t>
  </si>
  <si>
    <t>ештеңе айтпауды, мүлдем үндемеуді, тіс жармауды немесе сырды берік сақтауды білдіреді.</t>
  </si>
  <si>
    <t>үндемеу, ешнәрсе айтпау, сыр бермеу деген мағынаны білдіреді. Адамның тапжылмай үнсіз қалуын, тіс жарып сөйлемеуін сипаттайды.</t>
  </si>
  <si>
    <t>үндемеу, ештеңе айтпау деген мағынаны білдіреді.</t>
  </si>
  <si>
    <t>зейін қойып, мұқият тыңдау деген мағынаны білдіреді.</t>
  </si>
  <si>
    <t>бір нәрсеге қатты назар аудару, мұқият тыңдау, сақ болу деген мағынаны білдіреді. Көбінесе «құлақ түру» түрінде де қолданылады.</t>
  </si>
  <si>
    <t>бірдеңені мұқият, зейін қойып тыңдауды немесе қандай да бір жаңалықты, хабарды күтіп елеңдеуді білдіреді.</t>
  </si>
  <si>
    <t>ұйықтамау, көз ілмеу деген мағынаны білдіреді.</t>
  </si>
  <si>
    <t>ұйықтамау, көз ілмеу, түні бойы ояу болу деген мағынаны білдіреді. Сондай-ақ бір нәрсеге қатты көңіл бөліп, көз алмай қарау мәнінде де қолданылады.</t>
  </si>
  <si>
    <t>мүлдем ұйықтамауды, көз ілмеуді немесе бір нәрсеге өте мұқият, тапжылмай назар аударуды білдіреді (көбіне түні бойы ұйықтамай шығу мағынасында қолданылады).</t>
  </si>
  <si>
    <t>қатты қорықты, шошыды деген мағынаны білдіреді.</t>
  </si>
  <si>
    <t>қатты қорыққанда, үрейленгенде немесе қатты толқығанда жүректің соғуы жиілеп, дүрсілдеп кетуін білдіреді. Яғни адамның қорқыныш немесе қобалжу күйін сипаттайды.</t>
  </si>
  <si>
    <t>кенеттен қатты қорқуды, үрейленуді, зәресі ұшуды білдіреді.</t>
  </si>
  <si>
    <t>chat GPT</t>
  </si>
  <si>
    <t>gemini</t>
  </si>
  <si>
    <t>deepSeek</t>
  </si>
  <si>
    <t>келіскенін, мақұлдағанын білдірді деген мағынаны білдіреді.</t>
  </si>
  <si>
    <t>келісім білдіру, мақұлдау, «иә» деп жауап беру деген мағынаны білдіреді. Сондай-ақ біреуге бағыныштылық, мойынсұну мәнінде де қолданылады.</t>
  </si>
  <si>
    <t>келісуді, мақұлдауды, рұқсат беруді немесе үнсіз амандасу белгісін білдіреді.</t>
  </si>
  <si>
    <t>жомарт, барын өзгелерден аямайтын деген мағынаны білдіреді.</t>
  </si>
  <si>
    <t>жомарт, мырза, қолында барын басқалардан аямайтын, қайырымды адамды білдіреді.</t>
  </si>
  <si>
    <t>жомарт, береген, сараң емес адамды сипаттайды. Яғни адамның қолынан келгенінше көмектесетін, сый-сияпат жасауға дайын жомарт мінезін білдіреді.</t>
  </si>
  <si>
    <t>қатты ұялды, ұялғаннан беті қызарды деген мағынаны білдіреді.</t>
  </si>
  <si>
    <t>адамның қатты ұялғанын, қызарып кеткенін, ұятқа қалғанын білдіреді. Кейде қатты ызаланған, ашуланған күйін де сипаттайды.</t>
  </si>
  <si>
    <t>қатты ұялуды, қысылуды немесе ыңғайсыз жағдайда қалып, беті дуылдап қызаруды білдіреді.</t>
  </si>
  <si>
    <t>өте тату, бір-біріне жақын деген мағынаны білдіреді.</t>
  </si>
  <si>
    <t>екі адамның өте жақын, тығыз қарым-қатынаста екенін, араларына ешкімнің кіріге алмайтынын білдіреді. Сондай-ақ бір нәрсенің тығыз, мызғымас, берік екенін сипаттауда да қолданылады.</t>
  </si>
  <si>
    <t>екі адамның арасындағы өте тығыз достықты, айырылмас татулықты, сыйластық пен бірлікті білдіреді.</t>
  </si>
  <si>
    <t>өте жуас, момын, ешкімге зияны жоқ деген мағынаны білдіреді.</t>
  </si>
  <si>
    <t>өте момын, жуас, жұмсақ мінезді, ешкімге зияны жоқ адамды сипаттайды. Яғни адамның ұрыспайтын, ашуланбайтын, мүлдем зиянсыз, көнбіс мінезін білдіреді.</t>
  </si>
  <si>
    <t>өте момын, жуас, ешкімге залалы тимейтін, тыныш әрі бейуаз адамды білдіреді.</t>
  </si>
  <si>
    <t>адам өте көп, бос орын жоқ деген мағынаны білдіреді.</t>
  </si>
  <si>
    <t>адамның өте тығыз, лық толы, көпшілік қаумалаған жағдайын білдіреді. Яғни айналада бос орын жоқ, адамдар тым көп деген мағынаны білдіреді.</t>
  </si>
  <si>
    <t>орынның өте лық толы екенін, бос жер мүлдем жоқ екенін немесе халықтың шектен тыс көп жиналғанын білдіреді.</t>
  </si>
  <si>
    <t>көп еңбекті, шыдамдылық пен табандылықты қажет ететін қиын істі білдіретін тұрақты тіркес.</t>
  </si>
  <si>
    <t>Ол өте ауыр, азапты, ұзақ әрі нәтижесіз немесе асқан шыдамдылықты қажет ететін жұмыс деген мағынаны білдіреді</t>
  </si>
  <si>
    <t>өте үлкен сабырды, төзімділікті, ұқыптылықты және қажырлы еңбекті талап ететін аса қиын әрі баяу жүретін істі сипаттайтын бейнелі тіркес</t>
  </si>
  <si>
    <t>қатты ұялу, қысылу, ұялғаннан тығылар жер таппау деген мағынаны білдіретін тұрақты тіркес.</t>
  </si>
  <si>
    <t xml:space="preserve">қатты ұялып, не істерін білмей қалу, «жерге кіріп кетердей болу» дегенді білдіреді </t>
  </si>
  <si>
    <t>қатты ұялғаннан, айыпты болғаннан немесе ыңғайсыз жағдайға тап болғаннан жасырынатын жер таппай, не істерін білмей сасқалақтауды білдіретін тұрақты тіркес.</t>
  </si>
  <si>
    <t>көлемі өте кішкентай, шағын деген мағына</t>
  </si>
  <si>
    <t xml:space="preserve">«өте шағын, тар, кішкентай» дегенді білдіреді </t>
  </si>
  <si>
    <t>аумағы немесе көлемі өте шағын, кішкентай, тұтастай көзге сиып тұратын жерді, орынды немесе затты сипаттайтын тұрақты тіркес.</t>
  </si>
  <si>
    <t>тым-тырыс, ешбір дыбыс естілмейтін тыныштық</t>
  </si>
  <si>
    <t>«тып-тыныш, жым-жырт», яғни айналада ешбір дыбыс естілмейтін, мүлдем тыныштық орнаған күйді білдіреді</t>
  </si>
  <si>
    <t>айналада ешқандай дыбыс, дабыра жоқ, айналаның жым-жырт, тып-тыныш болып мүлгіп тұрған күйін білдіретін тұрақты тіркес.</t>
  </si>
  <si>
    <t>үндемей, ештеңе айтпай отыру</t>
  </si>
  <si>
    <t xml:space="preserve">«үндемейтін адам, ауыз ашпайтын, сөйлемейтін адам» </t>
  </si>
  <si>
    <t>ештеңе айтпай, мүлдем сөйлемей, сұрақтарға жауап бермей ләм-мим демей отырып алу</t>
  </si>
  <si>
    <t>өте батыл, ержүрек, ештеңеден қорықпайтын адам</t>
  </si>
  <si>
    <t>«батыр, ержүрек, ешнәрседен қорықпайтын адам»</t>
  </si>
  <si>
    <t>ештеңеден қорықпайтын, қауіп-қатерге қаймықпай қарсы тұратын, өте батыл, өжет әрі қайсар адам</t>
  </si>
  <si>
    <t>болмашы нәрседен де пайда табуға тырысатын, айлакер, қу адам</t>
  </si>
  <si>
    <t>«тым сараң, қу, пайдакүнем»</t>
  </si>
  <si>
    <t>өте сараң, тым есепшіл, ешқандай мүмкіндік жоқ жерден де пайда тапқысы келетін шектен шыққан дүниеқоңыз, ашқарақ адам</t>
  </si>
  <si>
    <t>ж</t>
  </si>
  <si>
    <t>хан көтерді, таққа отырғызды</t>
  </si>
  <si>
    <t>хан етіп сайлады, ел басшысы етіп ұлықтады немесе бір адамға ерекше құрмет көрсетіп, жоғары дәрежеге көтерді</t>
  </si>
  <si>
    <t>жолы болды, ісі оңға басты, сәттілікке жетті</t>
  </si>
  <si>
    <t>ісі оңға басты, сәті түсті, жолы болды</t>
  </si>
  <si>
    <t>ісі оңға басып, бағы жанды, жолы болып, сәттілікке кенелді</t>
  </si>
  <si>
    <t>молшылыққа кенелу, ішіп-жемнің ағыл-тегіл көп болуы</t>
  </si>
  <si>
    <t>молшылық, береке, тоқшылық орнау</t>
  </si>
  <si>
    <t>тұрмыс-тіршілікте азық-түлік, мал-жан, ақ (сүт өнімдері) өте мол болып, шалқыған тоқшылық пен береке орнаған кез</t>
  </si>
  <si>
    <t>елде тыныштық, бейбітшілік пен молшылық орнау</t>
  </si>
  <si>
    <t>бейбіт, тыныш, молшылық заман орнау</t>
  </si>
  <si>
    <t>елде толық тыныштық пен бейбітшілік орнаған, ешқандай қауіп-қатерсіз, мамыражай, берекелі де тоқ заман</t>
  </si>
  <si>
    <t>баю, шалқып, молшылықта өмір сүру</t>
  </si>
  <si>
    <t>баю, дәулеті асу, байып кету</t>
  </si>
  <si>
    <t>аяқастынан ашуға міну, шамдану, мінез көрсетіп, тулап шыға келу</t>
  </si>
  <si>
    <t>қатты ұрысу, балағаттау, жер-жебіріне жету</t>
  </si>
  <si>
    <t>қатты ұрысу, балағаттау, сөгу</t>
  </si>
  <si>
    <t>бір адамды аямай қатты ұрсу, жер-жебіріне жету, ауыр сөздер айтып, жерден алып жерге салу</t>
  </si>
  <si>
    <t>О</t>
  </si>
  <si>
    <t>жеңу, жеңіліске ұшырату</t>
  </si>
  <si>
    <t>алдау, алаяқтық жасау</t>
  </si>
  <si>
    <t>біреуді ойсырата жеңу, айласын асырып сүріндіру немесе тиісті сазайын беріп, сағын сындыру</t>
  </si>
  <si>
    <t>өте алыс, шалғай жер</t>
  </si>
  <si>
    <t>тым алыс, қашық, қияндағы жер</t>
  </si>
  <si>
    <t>өте алыстағы, жетуі қиын, шеткері, адам аяғы сирек басатын немесе елсіз, қаңырап қалған шалғай аймақ</t>
  </si>
  <si>
    <t>жолы болып, бағы жану, дәурені жүру</t>
  </si>
  <si>
    <t>мақтанып, тәкаппарлану, өзін жоғары санау</t>
  </si>
  <si>
    <t>бағы жанып, ісі оңға басып, абыройы мен мерейі тасып, өркендеп тұрған немесе еңсесі көтеріңкі күй</t>
  </si>
  <si>
    <t>ел алдында масқаралау, мазақ ету, абыройын төгу</t>
  </si>
  <si>
    <t>артына кір келтіру, ұятқа қалдыру, масқаралау</t>
  </si>
  <si>
    <t>біреудің абыройын айрандай төгіп, ел алдында масқаралау, қатты жазалау немесе беделін жұрт алдында мүлдем түсіру</t>
  </si>
  <si>
    <t>«Беті бүлк етпеді» — ұялмады, қысылмады</t>
  </si>
  <si>
    <t>беті бүлк етпеді</t>
  </si>
  <si>
    <t>Беті бүлк етпеу</t>
  </si>
  <si>
    <t>«қуанышы қойнына сыймады» (қуаныштан іші-бауыры қызу, қатты қуану) тіркесі</t>
  </si>
  <si>
    <t>Жүзіне қан жүгіру</t>
  </si>
  <si>
    <t>«Ажары кірді» — өңі жақсарды, көріктене түсті</t>
  </si>
  <si>
    <t>«Қол қусырып отырды» — ештеңе істемеді, әрекетсіз отырды</t>
  </si>
  <si>
    <t>Саусағының ұшын қимылдатпады</t>
  </si>
  <si>
    <t>Саусағының ұшын да қимылдатпау</t>
  </si>
  <si>
    <t>«Ай десе аузы, күн десе көзі бар» — өте сұлу, көрікті</t>
  </si>
  <si>
    <t>Қыздың жиған жүгіндей</t>
  </si>
  <si>
    <t>Сұлулығына көз сүрінеді</t>
  </si>
  <si>
    <t>«Ит арқасы қиянда» — өте алыс, шалғайда</t>
  </si>
  <si>
    <t>Ит арқасы қиян</t>
  </si>
  <si>
    <t>Ит арқасы қиянда</t>
  </si>
  <si>
    <t>«Жер-жебіріне жетті» — қатты ұрысты,</t>
  </si>
  <si>
    <t>«жерден алып, жерге салды» — ұрысты, сөкті</t>
  </si>
  <si>
    <t>Жер-жебіріне жету
Жерден алып, жерге салу</t>
  </si>
  <si>
    <t>Қас пен көздің арасында</t>
  </si>
  <si>
    <t>Кірпік қаққанша</t>
  </si>
  <si>
    <t>Әп дегенше</t>
  </si>
  <si>
    <t>Аяқ-аяғына жұқпау</t>
  </si>
  <si>
    <t xml:space="preserve"> Аяғы аяғына жұқпады</t>
  </si>
  <si>
    <t>Қас қағымда</t>
  </si>
  <si>
    <t>Ерні ерніне тимеді</t>
  </si>
  <si>
    <t>Аяғы аяғына тимеу</t>
  </si>
  <si>
    <t>Оқтай атылу</t>
  </si>
  <si>
    <t>Желдей есу</t>
  </si>
  <si>
    <t>Жердің түбі</t>
  </si>
  <si>
    <t>Жер мойны қашық</t>
  </si>
  <si>
    <t>Айшылық алыс жер</t>
  </si>
  <si>
    <t>Қиянның қиынында</t>
  </si>
  <si>
    <t>Ат тұяғы тимеген</t>
  </si>
  <si>
    <t>Қиыр шет</t>
  </si>
  <si>
    <t>Ат табаны жетпейтін жер</t>
  </si>
  <si>
    <t>Айшылық жер</t>
  </si>
  <si>
    <t>Жердің түбінде</t>
  </si>
  <si>
    <t>Таяқ тастам жер</t>
  </si>
  <si>
    <t>Қарға адым жер</t>
  </si>
  <si>
    <t>Қол созым жер</t>
  </si>
  <si>
    <t>Иек астында</t>
  </si>
  <si>
    <t>Тиіп тұр</t>
  </si>
  <si>
    <t>қол созым жер</t>
  </si>
  <si>
    <t>көз жететін жер</t>
  </si>
  <si>
    <t>үш қайнаса сорпасы қосылмайтын</t>
  </si>
  <si>
    <t>ат құлағында ойнайтын</t>
  </si>
  <si>
    <t>м</t>
  </si>
  <si>
    <t>т</t>
  </si>
  <si>
    <t>Екі адым жер</t>
  </si>
  <si>
    <t>Мұрын түбінде (немесе Мұрын астында)</t>
  </si>
  <si>
    <t>Ат аттам жер</t>
  </si>
  <si>
    <t>Құмырсқадай құжынаған</t>
  </si>
  <si>
    <t>Қара құрым</t>
  </si>
  <si>
    <t>Құмдай көп</t>
  </si>
  <si>
    <t>Жер қайысқан қол</t>
  </si>
  <si>
    <t>Қарасы қалың</t>
  </si>
  <si>
    <t>Қалың қол</t>
  </si>
  <si>
    <t>Қалың бұқара</t>
  </si>
  <si>
    <t>Бір кісідей бар екен</t>
  </si>
  <si>
    <t>Ел-жұрттың қарасы қалың</t>
  </si>
  <si>
    <t>Қара ормандай</t>
  </si>
  <si>
    <t>Құмырсқадай өру</t>
  </si>
  <si>
    <t>Иін тіресу</t>
  </si>
  <si>
    <t>Қара құрттай қаптау</t>
  </si>
  <si>
    <t>Қас қарая</t>
  </si>
  <si>
    <t>Көз байлана</t>
  </si>
  <si>
    <t>Екі кештің арасында</t>
  </si>
  <si>
    <t>Ел орынға отыра</t>
  </si>
  <si>
    <t>Күн ұясына кіргенде</t>
  </si>
  <si>
    <t xml:space="preserve">Қас қарайды </t>
  </si>
  <si>
    <t>Күн батты</t>
  </si>
  <si>
    <t xml:space="preserve">Ымырт үйірілді </t>
  </si>
  <si>
    <t xml:space="preserve">Ақшам түсті </t>
  </si>
  <si>
    <t>Түн ортасы</t>
  </si>
  <si>
    <t xml:space="preserve">Қас қарайғанда </t>
  </si>
  <si>
    <t>Көз байланғанда</t>
  </si>
  <si>
    <t>Алакеуім шақта</t>
  </si>
  <si>
    <t>Ақшам түсе</t>
  </si>
</sst>
</file>

<file path=xl/styles.xml><?xml version="1.0" encoding="utf-8"?>
<styleSheet xmlns="http://schemas.openxmlformats.org/spreadsheetml/2006/main" xmlns:mc="http://schemas.openxmlformats.org/markup-compatibility/2006" xmlns:x14ac="http://schemas.microsoft.com/office/spreadsheetml/2009/9/ac" mc:Ignorable="x14ac">
  <fonts count="6" x14ac:knownFonts="1">
    <font>
      <sz val="11"/>
      <color theme="1"/>
      <name val="Calibri"/>
      <family val="2"/>
      <scheme val="minor"/>
    </font>
    <font>
      <b/>
      <sz val="12"/>
      <name val="Calibri"/>
    </font>
    <font>
      <sz val="11"/>
      <name val="Calibri"/>
    </font>
    <font>
      <b/>
      <sz val="11"/>
      <name val="Calibri"/>
    </font>
    <font>
      <i/>
      <sz val="11"/>
      <name val="Calibri"/>
    </font>
    <font>
      <sz val="11"/>
      <name val="Calibri"/>
      <family val="2"/>
    </font>
  </fonts>
  <fills count="4">
    <fill>
      <patternFill patternType="none"/>
    </fill>
    <fill>
      <patternFill patternType="gray125"/>
    </fill>
    <fill>
      <patternFill patternType="solid">
        <fgColor rgb="FFDCE6F1"/>
      </patternFill>
    </fill>
    <fill>
      <patternFill patternType="solid">
        <fgColor rgb="FFFFF2CC"/>
      </patternFill>
    </fill>
  </fills>
  <borders count="4">
    <border>
      <left/>
      <right/>
      <top/>
      <bottom/>
      <diagonal/>
    </border>
    <border>
      <left style="thin">
        <color rgb="FF999999"/>
      </left>
      <right style="thin">
        <color rgb="FF999999"/>
      </right>
      <top style="thin">
        <color rgb="FF999999"/>
      </top>
      <bottom style="thin">
        <color rgb="FF999999"/>
      </bottom>
      <diagonal/>
    </border>
    <border>
      <left style="thin">
        <color rgb="FF999999"/>
      </left>
      <right style="thin">
        <color rgb="FF999999"/>
      </right>
      <top/>
      <bottom/>
      <diagonal/>
    </border>
    <border>
      <left style="thin">
        <color rgb="FF999999"/>
      </left>
      <right style="thin">
        <color rgb="FF999999"/>
      </right>
      <top/>
      <bottom style="thin">
        <color rgb="FF999999"/>
      </bottom>
      <diagonal/>
    </border>
  </borders>
  <cellStyleXfs count="1">
    <xf numFmtId="0" fontId="0" fillId="0" borderId="0"/>
  </cellStyleXfs>
  <cellXfs count="17">
    <xf numFmtId="0" fontId="0" fillId="0" borderId="0" xfId="0"/>
    <xf numFmtId="0" fontId="1" fillId="0" borderId="0" xfId="0" applyFont="1" applyAlignment="1">
      <alignment vertical="top" wrapText="1"/>
    </xf>
    <xf numFmtId="0" fontId="2" fillId="0" borderId="0" xfId="0" applyFont="1" applyAlignment="1">
      <alignment vertical="top" wrapText="1"/>
    </xf>
    <xf numFmtId="0" fontId="3" fillId="2" borderId="1" xfId="0" applyFont="1" applyFill="1" applyBorder="1" applyAlignment="1">
      <alignment horizontal="center" vertical="center" wrapText="1"/>
    </xf>
    <xf numFmtId="0" fontId="0" fillId="0" borderId="1" xfId="0" applyBorder="1" applyAlignment="1">
      <alignment horizontal="center" vertical="center" wrapText="1"/>
    </xf>
    <xf numFmtId="0" fontId="0" fillId="0" borderId="1" xfId="0" applyBorder="1" applyAlignment="1">
      <alignment vertical="top" wrapText="1"/>
    </xf>
    <xf numFmtId="0" fontId="0" fillId="3" borderId="1" xfId="0" applyFill="1" applyBorder="1" applyAlignment="1">
      <alignment vertical="top" wrapText="1"/>
    </xf>
    <xf numFmtId="0" fontId="0" fillId="3" borderId="1" xfId="0" applyFill="1" applyBorder="1" applyAlignment="1">
      <alignment horizontal="center" vertical="center" wrapText="1"/>
    </xf>
    <xf numFmtId="0" fontId="4" fillId="0" borderId="0" xfId="0" applyFont="1"/>
    <xf numFmtId="0" fontId="3" fillId="0" borderId="0" xfId="0" applyFont="1"/>
    <xf numFmtId="0" fontId="3" fillId="0" borderId="1" xfId="0" applyFont="1" applyBorder="1" applyAlignment="1">
      <alignment vertical="top" wrapText="1"/>
    </xf>
    <xf numFmtId="0" fontId="0" fillId="0" borderId="1" xfId="0" applyBorder="1" applyAlignment="1">
      <alignment horizontal="center" vertical="center" wrapText="1"/>
    </xf>
    <xf numFmtId="0" fontId="0" fillId="0" borderId="2" xfId="0" applyBorder="1"/>
    <xf numFmtId="0" fontId="0" fillId="0" borderId="3" xfId="0" applyBorder="1"/>
    <xf numFmtId="0" fontId="0" fillId="3" borderId="1" xfId="0" applyFill="1" applyBorder="1" applyAlignment="1">
      <alignment vertical="top" wrapText="1"/>
    </xf>
    <xf numFmtId="0" fontId="0" fillId="0" borderId="0" xfId="0"/>
    <xf numFmtId="0" fontId="5" fillId="0" borderId="0" xfId="0" applyFont="1" applyAlignment="1">
      <alignment vertical="top" wrapText="1"/>
    </xf>
  </cellXfs>
  <cellStyles count="1">
    <cellStyle name="Обычный" xfId="0" builtinId="0"/>
  </cellStyles>
  <dxfs count="0"/>
  <tableStyles count="0" defaultTableStyle="TableStyleMedium9" defaultPivotStyle="PivotStyleLight16"/>
  <extLst>
    <ext xmlns:x14="http://schemas.microsoft.com/office/spreadsheetml/2009/9/main" uri="{EB79DEF2-80B8-43e5-95BD-54CBDDF9020C}">
      <x14:slicerStyles defaultSlicerStyle="SlicerStyleLight1"/>
    </ext>
  </extLst>
</styleSheet>
</file>

<file path=xl/_rels/workbook.xml.rels><?xml version="1.0" encoding="UTF-8" standalone="yes"?>
<Relationships xmlns="http://schemas.openxmlformats.org/package/2006/relationships"><Relationship Id="rId8" Type="http://schemas.openxmlformats.org/officeDocument/2006/relationships/sharedStrings" Target="sharedStrings.xml"/><Relationship Id="rId3" Type="http://schemas.openxmlformats.org/officeDocument/2006/relationships/worksheet" Target="worksheets/sheet3.xml"/><Relationship Id="rId7" Type="http://schemas.openxmlformats.org/officeDocument/2006/relationships/styles" Target="style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theme" Target="theme/theme1.xml"/><Relationship Id="rId5" Type="http://schemas.openxmlformats.org/officeDocument/2006/relationships/worksheet" Target="worksheets/sheet5.xml"/><Relationship Id="rId4" Type="http://schemas.openxmlformats.org/officeDocument/2006/relationships/worksheet" Target="worksheets/sheet4.xml"/><Relationship Id="rId9" Type="http://schemas.openxmlformats.org/officeDocument/2006/relationships/calcChain" Target="calcChain.xml"/></Relationships>
</file>

<file path=xl/charts/chart1.xml><?xml version="1.0" encoding="utf-8"?>
<c:chartSpace xmlns:c="http://schemas.openxmlformats.org/drawingml/2006/chart" xmlns:a="http://schemas.openxmlformats.org/drawingml/2006/main" xmlns:r="http://schemas.openxmlformats.org/officeDocument/2006/relationships">
  <c:date1904 val="0"/>
  <c:lang val="ru-RU"/>
  <c:roundedCorners val="1"/>
  <c:style val="2"/>
  <c:chart>
    <c:title>
      <c:tx>
        <c:rich>
          <a:bodyPr/>
          <a:lstStyle/>
          <a:p>
            <a:pPr>
              <a:defRPr/>
            </a:pPr>
            <a:r>
              <a:rPr lang="ru-RU"/>
              <a:t>1-тәжірибе: топтар бойынша сапа көрсеткіші, %</a:t>
            </a:r>
          </a:p>
        </c:rich>
      </c:tx>
      <c:layout/>
      <c:overlay val="1"/>
    </c:title>
    <c:autoTitleDeleted val="0"/>
    <c:plotArea>
      <c:layout/>
      <c:barChart>
        <c:barDir val="col"/>
        <c:grouping val="clustered"/>
        <c:varyColors val="1"/>
        <c:ser>
          <c:idx val="0"/>
          <c:order val="0"/>
          <c:tx>
            <c:strRef>
              <c:f>Қорытынды!$B$7</c:f>
              <c:strCache>
                <c:ptCount val="1"/>
                <c:pt idx="0">
                  <c:v>chat GPT</c:v>
                </c:pt>
              </c:strCache>
            </c:strRef>
          </c:tx>
          <c:spPr>
            <a:ln>
              <a:prstDash val="solid"/>
            </a:ln>
          </c:spPr>
          <c:invertIfNegative val="1"/>
          <c:cat>
            <c:strRef>
              <c:f>Қорытынды!$A$8:$A$10</c:f>
              <c:strCache>
                <c:ptCount val="3"/>
                <c:pt idx="0">
                  <c:v>А – Мөлдір бейнелі тіркестер</c:v>
                </c:pt>
                <c:pt idx="1">
                  <c:v>Ә – Астарлы бейнелі тіркестер</c:v>
                </c:pt>
                <c:pt idx="2">
                  <c:v>Б – Ұлттық-мәдени тіркестер</c:v>
                </c:pt>
              </c:strCache>
            </c:strRef>
          </c:cat>
          <c:val>
            <c:numRef>
              <c:f>Қорытынды!$B$8:$B$10</c:f>
              <c:numCache>
                <c:formatCode>General</c:formatCode>
                <c:ptCount val="3"/>
                <c:pt idx="0">
                  <c:v>100</c:v>
                </c:pt>
                <c:pt idx="1">
                  <c:v>100</c:v>
                </c:pt>
                <c:pt idx="2">
                  <c:v>90</c:v>
                </c:pt>
              </c:numCache>
            </c:numRef>
          </c:val>
        </c:ser>
        <c:ser>
          <c:idx val="1"/>
          <c:order val="1"/>
          <c:tx>
            <c:strRef>
              <c:f>Қорытынды!$C$7</c:f>
              <c:strCache>
                <c:ptCount val="1"/>
                <c:pt idx="0">
                  <c:v>deepSeek</c:v>
                </c:pt>
              </c:strCache>
            </c:strRef>
          </c:tx>
          <c:spPr>
            <a:ln>
              <a:prstDash val="solid"/>
            </a:ln>
          </c:spPr>
          <c:invertIfNegative val="1"/>
          <c:cat>
            <c:strRef>
              <c:f>Қорытынды!$A$8:$A$10</c:f>
              <c:strCache>
                <c:ptCount val="3"/>
                <c:pt idx="0">
                  <c:v>А – Мөлдір бейнелі тіркестер</c:v>
                </c:pt>
                <c:pt idx="1">
                  <c:v>Ә – Астарлы бейнелі тіркестер</c:v>
                </c:pt>
                <c:pt idx="2">
                  <c:v>Б – Ұлттық-мәдени тіркестер</c:v>
                </c:pt>
              </c:strCache>
            </c:strRef>
          </c:cat>
          <c:val>
            <c:numRef>
              <c:f>Қорытынды!$C$8:$C$10</c:f>
              <c:numCache>
                <c:formatCode>General</c:formatCode>
                <c:ptCount val="3"/>
                <c:pt idx="0">
                  <c:v>90</c:v>
                </c:pt>
                <c:pt idx="1">
                  <c:v>100</c:v>
                </c:pt>
                <c:pt idx="2">
                  <c:v>90</c:v>
                </c:pt>
              </c:numCache>
            </c:numRef>
          </c:val>
        </c:ser>
        <c:ser>
          <c:idx val="2"/>
          <c:order val="2"/>
          <c:tx>
            <c:strRef>
              <c:f>Қорытынды!$D$7</c:f>
              <c:strCache>
                <c:ptCount val="1"/>
                <c:pt idx="0">
                  <c:v>gemini</c:v>
                </c:pt>
              </c:strCache>
            </c:strRef>
          </c:tx>
          <c:spPr>
            <a:ln>
              <a:prstDash val="solid"/>
            </a:ln>
          </c:spPr>
          <c:invertIfNegative val="1"/>
          <c:cat>
            <c:strRef>
              <c:f>Қорытынды!$A$8:$A$10</c:f>
              <c:strCache>
                <c:ptCount val="3"/>
                <c:pt idx="0">
                  <c:v>А – Мөлдір бейнелі тіркестер</c:v>
                </c:pt>
                <c:pt idx="1">
                  <c:v>Ә – Астарлы бейнелі тіркестер</c:v>
                </c:pt>
                <c:pt idx="2">
                  <c:v>Б – Ұлттық-мәдени тіркестер</c:v>
                </c:pt>
              </c:strCache>
            </c:strRef>
          </c:cat>
          <c:val>
            <c:numRef>
              <c:f>Қорытынды!$D$8:$D$10</c:f>
              <c:numCache>
                <c:formatCode>General</c:formatCode>
                <c:ptCount val="3"/>
                <c:pt idx="0">
                  <c:v>95</c:v>
                </c:pt>
                <c:pt idx="1">
                  <c:v>100</c:v>
                </c:pt>
                <c:pt idx="2">
                  <c:v>77.8</c:v>
                </c:pt>
              </c:numCache>
            </c:numRef>
          </c:val>
        </c:ser>
        <c:dLbls>
          <c:showLegendKey val="0"/>
          <c:showVal val="0"/>
          <c:showCatName val="0"/>
          <c:showSerName val="0"/>
          <c:showPercent val="0"/>
          <c:showBubbleSize val="0"/>
        </c:dLbls>
        <c:gapWidth val="150"/>
        <c:axId val="132895232"/>
        <c:axId val="74198976"/>
      </c:barChart>
      <c:catAx>
        <c:axId val="132895232"/>
        <c:scaling>
          <c:orientation val="minMax"/>
        </c:scaling>
        <c:delete val="1"/>
        <c:axPos val="b"/>
        <c:majorTickMark val="none"/>
        <c:minorTickMark val="none"/>
        <c:tickLblPos val="nextTo"/>
        <c:crossAx val="74198976"/>
        <c:crosses val="autoZero"/>
        <c:auto val="1"/>
        <c:lblAlgn val="ctr"/>
        <c:lblOffset val="100"/>
        <c:noMultiLvlLbl val="1"/>
      </c:catAx>
      <c:valAx>
        <c:axId val="74198976"/>
        <c:scaling>
          <c:orientation val="minMax"/>
          <c:max val="100"/>
          <c:min val="0"/>
        </c:scaling>
        <c:delete val="1"/>
        <c:axPos val="l"/>
        <c:majorGridlines/>
        <c:numFmt formatCode="General" sourceLinked="1"/>
        <c:majorTickMark val="none"/>
        <c:minorTickMark val="none"/>
        <c:tickLblPos val="nextTo"/>
        <c:crossAx val="132895232"/>
        <c:crosses val="autoZero"/>
        <c:crossBetween val="between"/>
      </c:valAx>
    </c:plotArea>
    <c:legend>
      <c:legendPos val="r"/>
      <c:layout/>
      <c:overlay val="1"/>
    </c:legend>
    <c:plotVisOnly val="1"/>
    <c:dispBlanksAs val="gap"/>
    <c:showDLblsOverMax val="1"/>
  </c:chart>
  <c:printSettings>
    <c:headerFooter/>
    <c:pageMargins b="0.75" l="0.7" r="0.7" t="0.75" header="0.3" footer="0.3"/>
    <c:pageSetup/>
  </c:printSettings>
</c:chartSpace>
</file>

<file path=xl/charts/chart2.xml><?xml version="1.0" encoding="utf-8"?>
<c:chartSpace xmlns:c="http://schemas.openxmlformats.org/drawingml/2006/chart" xmlns:a="http://schemas.openxmlformats.org/drawingml/2006/main" xmlns:r="http://schemas.openxmlformats.org/officeDocument/2006/relationships">
  <c:date1904 val="0"/>
  <c:lang val="ru-RU"/>
  <c:roundedCorners val="1"/>
  <c:style val="2"/>
  <c:chart>
    <c:title>
      <c:tx>
        <c:rich>
          <a:bodyPr/>
          <a:lstStyle/>
          <a:p>
            <a:pPr>
              <a:defRPr/>
            </a:pPr>
            <a:r>
              <a:rPr lang="ru-RU"/>
              <a:t>Қате түрлері</a:t>
            </a:r>
          </a:p>
        </c:rich>
      </c:tx>
      <c:layout/>
      <c:overlay val="1"/>
    </c:title>
    <c:autoTitleDeleted val="0"/>
    <c:plotArea>
      <c:layout/>
      <c:barChart>
        <c:barDir val="bar"/>
        <c:grouping val="stacked"/>
        <c:varyColors val="1"/>
        <c:ser>
          <c:idx val="0"/>
          <c:order val="0"/>
          <c:tx>
            <c:strRef>
              <c:f>Қорытынды!$B$14</c:f>
              <c:strCache>
                <c:ptCount val="1"/>
                <c:pt idx="0">
                  <c:v>chat GPT</c:v>
                </c:pt>
              </c:strCache>
            </c:strRef>
          </c:tx>
          <c:spPr>
            <a:ln>
              <a:prstDash val="solid"/>
            </a:ln>
          </c:spPr>
          <c:invertIfNegative val="1"/>
          <c:cat>
            <c:strRef>
              <c:f>Қорытынды!$A$15:$A$18</c:f>
              <c:strCache>
                <c:ptCount val="4"/>
                <c:pt idx="0">
                  <c:v>С – Сөзбе-сөз түсіндіру</c:v>
                </c:pt>
                <c:pt idx="1">
                  <c:v>Б – Басқа мағына беру</c:v>
                </c:pt>
                <c:pt idx="2">
                  <c:v>О – Ойдан шығару</c:v>
                </c:pt>
                <c:pt idx="3">
                  <c:v>Ж – Жалпылама жауап</c:v>
                </c:pt>
              </c:strCache>
            </c:strRef>
          </c:cat>
          <c:val>
            <c:numRef>
              <c:f>Қорытынды!$B$15:$B$18</c:f>
              <c:numCache>
                <c:formatCode>General</c:formatCode>
                <c:ptCount val="4"/>
                <c:pt idx="0">
                  <c:v>0</c:v>
                </c:pt>
                <c:pt idx="1">
                  <c:v>0</c:v>
                </c:pt>
                <c:pt idx="2">
                  <c:v>1</c:v>
                </c:pt>
                <c:pt idx="3">
                  <c:v>0</c:v>
                </c:pt>
              </c:numCache>
            </c:numRef>
          </c:val>
        </c:ser>
        <c:ser>
          <c:idx val="1"/>
          <c:order val="1"/>
          <c:tx>
            <c:strRef>
              <c:f>Қорытынды!$C$14</c:f>
              <c:strCache>
                <c:ptCount val="1"/>
                <c:pt idx="0">
                  <c:v>deepSeek</c:v>
                </c:pt>
              </c:strCache>
            </c:strRef>
          </c:tx>
          <c:spPr>
            <a:ln>
              <a:prstDash val="solid"/>
            </a:ln>
          </c:spPr>
          <c:invertIfNegative val="1"/>
          <c:cat>
            <c:strRef>
              <c:f>Қорытынды!$A$15:$A$18</c:f>
              <c:strCache>
                <c:ptCount val="4"/>
                <c:pt idx="0">
                  <c:v>С – Сөзбе-сөз түсіндіру</c:v>
                </c:pt>
                <c:pt idx="1">
                  <c:v>Б – Басқа мағына беру</c:v>
                </c:pt>
                <c:pt idx="2">
                  <c:v>О – Ойдан шығару</c:v>
                </c:pt>
                <c:pt idx="3">
                  <c:v>Ж – Жалпылама жауап</c:v>
                </c:pt>
              </c:strCache>
            </c:strRef>
          </c:cat>
          <c:val>
            <c:numRef>
              <c:f>Қорытынды!$C$15:$C$18</c:f>
              <c:numCache>
                <c:formatCode>General</c:formatCode>
                <c:ptCount val="4"/>
                <c:pt idx="0">
                  <c:v>0</c:v>
                </c:pt>
                <c:pt idx="1">
                  <c:v>0</c:v>
                </c:pt>
                <c:pt idx="2">
                  <c:v>1</c:v>
                </c:pt>
                <c:pt idx="3">
                  <c:v>2</c:v>
                </c:pt>
              </c:numCache>
            </c:numRef>
          </c:val>
        </c:ser>
        <c:ser>
          <c:idx val="2"/>
          <c:order val="2"/>
          <c:tx>
            <c:strRef>
              <c:f>Қорытынды!$D$14</c:f>
              <c:strCache>
                <c:ptCount val="1"/>
                <c:pt idx="0">
                  <c:v>gemini</c:v>
                </c:pt>
              </c:strCache>
            </c:strRef>
          </c:tx>
          <c:spPr>
            <a:ln>
              <a:prstDash val="solid"/>
            </a:ln>
          </c:spPr>
          <c:invertIfNegative val="1"/>
          <c:cat>
            <c:strRef>
              <c:f>Қорытынды!$A$15:$A$18</c:f>
              <c:strCache>
                <c:ptCount val="4"/>
                <c:pt idx="0">
                  <c:v>С – Сөзбе-сөз түсіндіру</c:v>
                </c:pt>
                <c:pt idx="1">
                  <c:v>Б – Басқа мағына беру</c:v>
                </c:pt>
                <c:pt idx="2">
                  <c:v>О – Ойдан шығару</c:v>
                </c:pt>
                <c:pt idx="3">
                  <c:v>Ж – Жалпылама жауап</c:v>
                </c:pt>
              </c:strCache>
            </c:strRef>
          </c:cat>
          <c:val>
            <c:numRef>
              <c:f>Қорытынды!$D$15:$D$18</c:f>
              <c:numCache>
                <c:formatCode>General</c:formatCode>
                <c:ptCount val="4"/>
                <c:pt idx="0">
                  <c:v>0</c:v>
                </c:pt>
                <c:pt idx="1">
                  <c:v>0</c:v>
                </c:pt>
                <c:pt idx="2">
                  <c:v>2</c:v>
                </c:pt>
                <c:pt idx="3">
                  <c:v>1</c:v>
                </c:pt>
              </c:numCache>
            </c:numRef>
          </c:val>
        </c:ser>
        <c:dLbls>
          <c:showLegendKey val="0"/>
          <c:showVal val="0"/>
          <c:showCatName val="0"/>
          <c:showSerName val="0"/>
          <c:showPercent val="0"/>
          <c:showBubbleSize val="0"/>
        </c:dLbls>
        <c:gapWidth val="150"/>
        <c:overlap val="100"/>
        <c:axId val="132898304"/>
        <c:axId val="74201280"/>
      </c:barChart>
      <c:catAx>
        <c:axId val="132898304"/>
        <c:scaling>
          <c:orientation val="minMax"/>
        </c:scaling>
        <c:delete val="1"/>
        <c:axPos val="l"/>
        <c:majorTickMark val="none"/>
        <c:minorTickMark val="none"/>
        <c:tickLblPos val="nextTo"/>
        <c:crossAx val="74201280"/>
        <c:crosses val="autoZero"/>
        <c:auto val="1"/>
        <c:lblAlgn val="ctr"/>
        <c:lblOffset val="100"/>
        <c:noMultiLvlLbl val="1"/>
      </c:catAx>
      <c:valAx>
        <c:axId val="74201280"/>
        <c:scaling>
          <c:orientation val="minMax"/>
        </c:scaling>
        <c:delete val="1"/>
        <c:axPos val="b"/>
        <c:majorGridlines/>
        <c:numFmt formatCode="General" sourceLinked="1"/>
        <c:majorTickMark val="none"/>
        <c:minorTickMark val="none"/>
        <c:tickLblPos val="nextTo"/>
        <c:crossAx val="132898304"/>
        <c:crosses val="autoZero"/>
        <c:crossBetween val="between"/>
      </c:valAx>
    </c:plotArea>
    <c:legend>
      <c:legendPos val="r"/>
      <c:layout/>
      <c:overlay val="1"/>
    </c:legend>
    <c:plotVisOnly val="1"/>
    <c:dispBlanksAs val="gap"/>
    <c:showDLblsOverMax val="1"/>
  </c:chart>
  <c:printSettings>
    <c:headerFooter/>
    <c:pageMargins b="0.75" l="0.7" r="0.7" t="0.75" header="0.3" footer="0.3"/>
    <c:pageSetup/>
  </c:printSettings>
</c:chartSpace>
</file>

<file path=xl/charts/chart3.xml><?xml version="1.0" encoding="utf-8"?>
<c:chartSpace xmlns:c="http://schemas.openxmlformats.org/drawingml/2006/chart" xmlns:a="http://schemas.openxmlformats.org/drawingml/2006/main" xmlns:r="http://schemas.openxmlformats.org/officeDocument/2006/relationships">
  <c:date1904 val="0"/>
  <c:lang val="ru-RU"/>
  <c:roundedCorners val="1"/>
  <c:style val="2"/>
  <c:chart>
    <c:title>
      <c:tx>
        <c:rich>
          <a:bodyPr/>
          <a:lstStyle/>
          <a:p>
            <a:pPr>
              <a:defRPr/>
            </a:pPr>
            <a:r>
              <a:rPr lang="ru-RU"/>
              <a:t>3-тәжірибе: ЖИ атаған тіркестер</a:t>
            </a:r>
          </a:p>
        </c:rich>
      </c:tx>
      <c:layout/>
      <c:overlay val="1"/>
    </c:title>
    <c:autoTitleDeleted val="0"/>
    <c:plotArea>
      <c:layout/>
      <c:barChart>
        <c:barDir val="col"/>
        <c:grouping val="percentStacked"/>
        <c:varyColors val="1"/>
        <c:ser>
          <c:idx val="0"/>
          <c:order val="0"/>
          <c:tx>
            <c:v>Н – Нақты тіркес, мағынасы дұрыс</c:v>
          </c:tx>
          <c:spPr>
            <a:ln>
              <a:prstDash val="solid"/>
            </a:ln>
          </c:spPr>
          <c:invertIfNegative val="1"/>
          <c:cat>
            <c:strRef>
              <c:f>Қорытынды!$B$27:$D$27</c:f>
              <c:strCache>
                <c:ptCount val="3"/>
                <c:pt idx="0">
                  <c:v>chat GPT</c:v>
                </c:pt>
                <c:pt idx="1">
                  <c:v>deepSeek</c:v>
                </c:pt>
                <c:pt idx="2">
                  <c:v>gemini</c:v>
                </c:pt>
              </c:strCache>
            </c:strRef>
          </c:cat>
          <c:val>
            <c:numRef>
              <c:f>Қорытынды!$B$28:$D$28</c:f>
              <c:numCache>
                <c:formatCode>General</c:formatCode>
                <c:ptCount val="3"/>
                <c:pt idx="0">
                  <c:v>0</c:v>
                </c:pt>
                <c:pt idx="1">
                  <c:v>0</c:v>
                </c:pt>
                <c:pt idx="2">
                  <c:v>0</c:v>
                </c:pt>
              </c:numCache>
            </c:numRef>
          </c:val>
        </c:ser>
        <c:ser>
          <c:idx val="1"/>
          <c:order val="1"/>
          <c:tx>
            <c:v>М – Нақты тіркес, мағынасы басқа</c:v>
          </c:tx>
          <c:spPr>
            <a:ln>
              <a:prstDash val="solid"/>
            </a:ln>
          </c:spPr>
          <c:invertIfNegative val="1"/>
          <c:cat>
            <c:strRef>
              <c:f>Қорытынды!$B$27:$D$27</c:f>
              <c:strCache>
                <c:ptCount val="3"/>
                <c:pt idx="0">
                  <c:v>chat GPT</c:v>
                </c:pt>
                <c:pt idx="1">
                  <c:v>deepSeek</c:v>
                </c:pt>
                <c:pt idx="2">
                  <c:v>gemini</c:v>
                </c:pt>
              </c:strCache>
            </c:strRef>
          </c:cat>
          <c:val>
            <c:numRef>
              <c:f>Қорытынды!$B$29:$D$29</c:f>
              <c:numCache>
                <c:formatCode>General</c:formatCode>
                <c:ptCount val="3"/>
                <c:pt idx="0">
                  <c:v>0</c:v>
                </c:pt>
                <c:pt idx="1">
                  <c:v>2</c:v>
                </c:pt>
                <c:pt idx="2">
                  <c:v>0</c:v>
                </c:pt>
              </c:numCache>
            </c:numRef>
          </c:val>
        </c:ser>
        <c:ser>
          <c:idx val="2"/>
          <c:order val="2"/>
          <c:tx>
            <c:v>Ж – Жоқ тіркес</c:v>
          </c:tx>
          <c:spPr>
            <a:ln>
              <a:prstDash val="solid"/>
            </a:ln>
          </c:spPr>
          <c:invertIfNegative val="1"/>
          <c:cat>
            <c:strRef>
              <c:f>Қорытынды!$B$27:$D$27</c:f>
              <c:strCache>
                <c:ptCount val="3"/>
                <c:pt idx="0">
                  <c:v>chat GPT</c:v>
                </c:pt>
                <c:pt idx="1">
                  <c:v>deepSeek</c:v>
                </c:pt>
                <c:pt idx="2">
                  <c:v>gemini</c:v>
                </c:pt>
              </c:strCache>
            </c:strRef>
          </c:cat>
          <c:val>
            <c:numRef>
              <c:f>Қорытынды!$B$30:$D$30</c:f>
              <c:numCache>
                <c:formatCode>General</c:formatCode>
                <c:ptCount val="3"/>
                <c:pt idx="0">
                  <c:v>0</c:v>
                </c:pt>
                <c:pt idx="1">
                  <c:v>0</c:v>
                </c:pt>
                <c:pt idx="2">
                  <c:v>0</c:v>
                </c:pt>
              </c:numCache>
            </c:numRef>
          </c:val>
        </c:ser>
        <c:ser>
          <c:idx val="3"/>
          <c:order val="3"/>
          <c:tx>
            <c:v>Т – Тұрақты тіркес емес</c:v>
          </c:tx>
          <c:spPr>
            <a:ln>
              <a:prstDash val="solid"/>
            </a:ln>
          </c:spPr>
          <c:invertIfNegative val="1"/>
          <c:cat>
            <c:strRef>
              <c:f>Қорытынды!$B$27:$D$27</c:f>
              <c:strCache>
                <c:ptCount val="3"/>
                <c:pt idx="0">
                  <c:v>chat GPT</c:v>
                </c:pt>
                <c:pt idx="1">
                  <c:v>deepSeek</c:v>
                </c:pt>
                <c:pt idx="2">
                  <c:v>gemini</c:v>
                </c:pt>
              </c:strCache>
            </c:strRef>
          </c:cat>
          <c:val>
            <c:numRef>
              <c:f>Қорытынды!$B$31:$D$31</c:f>
              <c:numCache>
                <c:formatCode>General</c:formatCode>
                <c:ptCount val="3"/>
                <c:pt idx="0">
                  <c:v>5</c:v>
                </c:pt>
                <c:pt idx="1">
                  <c:v>4</c:v>
                </c:pt>
                <c:pt idx="2">
                  <c:v>3</c:v>
                </c:pt>
              </c:numCache>
            </c:numRef>
          </c:val>
        </c:ser>
        <c:dLbls>
          <c:showLegendKey val="0"/>
          <c:showVal val="0"/>
          <c:showCatName val="0"/>
          <c:showSerName val="0"/>
          <c:showPercent val="0"/>
          <c:showBubbleSize val="0"/>
        </c:dLbls>
        <c:gapWidth val="150"/>
        <c:overlap val="100"/>
        <c:axId val="134152192"/>
        <c:axId val="104143616"/>
      </c:barChart>
      <c:catAx>
        <c:axId val="134152192"/>
        <c:scaling>
          <c:orientation val="minMax"/>
        </c:scaling>
        <c:delete val="1"/>
        <c:axPos val="b"/>
        <c:majorTickMark val="none"/>
        <c:minorTickMark val="none"/>
        <c:tickLblPos val="nextTo"/>
        <c:crossAx val="104143616"/>
        <c:crosses val="autoZero"/>
        <c:auto val="1"/>
        <c:lblAlgn val="ctr"/>
        <c:lblOffset val="100"/>
        <c:noMultiLvlLbl val="1"/>
      </c:catAx>
      <c:valAx>
        <c:axId val="104143616"/>
        <c:scaling>
          <c:orientation val="minMax"/>
        </c:scaling>
        <c:delete val="1"/>
        <c:axPos val="l"/>
        <c:majorGridlines/>
        <c:numFmt formatCode="0%" sourceLinked="1"/>
        <c:majorTickMark val="none"/>
        <c:minorTickMark val="none"/>
        <c:tickLblPos val="nextTo"/>
        <c:crossAx val="134152192"/>
        <c:crosses val="autoZero"/>
        <c:crossBetween val="between"/>
      </c:valAx>
    </c:plotArea>
    <c:legend>
      <c:legendPos val="r"/>
      <c:layout/>
      <c:overlay val="1"/>
    </c:legend>
    <c:plotVisOnly val="1"/>
    <c:dispBlanksAs val="gap"/>
    <c:showDLblsOverMax val="1"/>
  </c:chart>
  <c:printSettings>
    <c:headerFooter/>
    <c:pageMargins b="0.75" l="0.7" r="0.7" t="0.75" header="0.3" footer="0.3"/>
    <c:pageSetup/>
  </c:printSettings>
</c:chartSpace>
</file>

<file path=xl/drawings/_rels/drawing1.xml.rels><?xml version="1.0" encoding="UTF-8" standalone="yes"?>
<Relationships xmlns="http://schemas.openxmlformats.org/package/2006/relationships"><Relationship Id="rId3" Type="http://schemas.openxmlformats.org/officeDocument/2006/relationships/chart" Target="../charts/chart3.xml"/><Relationship Id="rId2" Type="http://schemas.openxmlformats.org/officeDocument/2006/relationships/chart" Target="../charts/chart2.xml"/><Relationship Id="rId1" Type="http://schemas.openxmlformats.org/officeDocument/2006/relationships/chart" Target="../charts/chart1.xml"/></Relationships>
</file>

<file path=xl/drawings/drawing1.xml><?xml version="1.0" encoding="utf-8"?>
<xdr:wsDr xmlns:xdr="http://schemas.openxmlformats.org/drawingml/2006/spreadsheetDrawing" xmlns:a="http://schemas.openxmlformats.org/drawingml/2006/main">
  <xdr:oneCellAnchor>
    <xdr:from>
      <xdr:col>6</xdr:col>
      <xdr:colOff>0</xdr:colOff>
      <xdr:row>5</xdr:row>
      <xdr:rowOff>0</xdr:rowOff>
    </xdr:from>
    <xdr:ext cx="6480000" cy="2880000"/>
    <xdr:graphicFrame macro="">
      <xdr:nvGraphicFramePr>
        <xdr:cNvPr id="2" name="Chart 1"/>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oneCellAnchor>
  <xdr:oneCellAnchor>
    <xdr:from>
      <xdr:col>6</xdr:col>
      <xdr:colOff>0</xdr:colOff>
      <xdr:row>23</xdr:row>
      <xdr:rowOff>0</xdr:rowOff>
    </xdr:from>
    <xdr:ext cx="6480000" cy="2880000"/>
    <xdr:graphicFrame macro="">
      <xdr:nvGraphicFramePr>
        <xdr:cNvPr id="3" name="Chart 2"/>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oneCellAnchor>
  <xdr:oneCellAnchor>
    <xdr:from>
      <xdr:col>6</xdr:col>
      <xdr:colOff>0</xdr:colOff>
      <xdr:row>41</xdr:row>
      <xdr:rowOff>0</xdr:rowOff>
    </xdr:from>
    <xdr:ext cx="6480000" cy="2880000"/>
    <xdr:graphicFrame macro="">
      <xdr:nvGraphicFramePr>
        <xdr:cNvPr id="4" name="Chart 3"/>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oneCellAnchor>
</xdr:wsDr>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2.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5.xml.rels><?xml version="1.0" encoding="UTF-8" standalone="yes"?>
<Relationships xmlns="http://schemas.openxmlformats.org/package/2006/relationships"><Relationship Id="rId1" Type="http://schemas.openxmlformats.org/officeDocument/2006/relationships/drawing" Target="../drawings/drawing1.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pageSetUpPr fitToPage="1"/>
  </sheetPr>
  <dimension ref="A1:A31"/>
  <sheetViews>
    <sheetView topLeftCell="A7" zoomScale="90" zoomScaleNormal="90" workbookViewId="0">
      <selection activeCell="A16" sqref="A16"/>
    </sheetView>
  </sheetViews>
  <sheetFormatPr defaultRowHeight="14.5" x14ac:dyDescent="0.35"/>
  <cols>
    <col min="1" max="1" width="110" customWidth="1"/>
  </cols>
  <sheetData>
    <row r="1" spans="1:1" ht="15.5" x14ac:dyDescent="0.35">
      <c r="A1" s="1" t="s">
        <v>0</v>
      </c>
    </row>
    <row r="2" spans="1:1" x14ac:dyDescent="0.35">
      <c r="A2" s="2" t="s">
        <v>1</v>
      </c>
    </row>
    <row r="3" spans="1:1" x14ac:dyDescent="0.35">
      <c r="A3" s="2"/>
    </row>
    <row r="4" spans="1:1" ht="29" x14ac:dyDescent="0.35">
      <c r="A4" s="2" t="s">
        <v>2</v>
      </c>
    </row>
    <row r="5" spans="1:1" ht="29" x14ac:dyDescent="0.35">
      <c r="A5" s="2" t="s">
        <v>3</v>
      </c>
    </row>
    <row r="6" spans="1:1" ht="29" x14ac:dyDescent="0.35">
      <c r="A6" s="2" t="s">
        <v>4</v>
      </c>
    </row>
    <row r="7" spans="1:1" x14ac:dyDescent="0.35">
      <c r="A7" s="2" t="s">
        <v>5</v>
      </c>
    </row>
    <row r="8" spans="1:1" x14ac:dyDescent="0.35">
      <c r="A8" s="2" t="s">
        <v>6</v>
      </c>
    </row>
    <row r="9" spans="1:1" ht="29" x14ac:dyDescent="0.35">
      <c r="A9" s="2" t="s">
        <v>7</v>
      </c>
    </row>
    <row r="10" spans="1:1" x14ac:dyDescent="0.35">
      <c r="A10" s="2" t="s">
        <v>8</v>
      </c>
    </row>
    <row r="11" spans="1:1" x14ac:dyDescent="0.35">
      <c r="A11" s="2" t="s">
        <v>9</v>
      </c>
    </row>
    <row r="12" spans="1:1" x14ac:dyDescent="0.35">
      <c r="A12" s="2"/>
    </row>
    <row r="13" spans="1:1" ht="15.5" x14ac:dyDescent="0.35">
      <c r="A13" s="1" t="s">
        <v>10</v>
      </c>
    </row>
    <row r="14" spans="1:1" x14ac:dyDescent="0.35">
      <c r="A14" s="2" t="s">
        <v>11</v>
      </c>
    </row>
    <row r="15" spans="1:1" x14ac:dyDescent="0.35">
      <c r="A15" s="16" t="s">
        <v>12</v>
      </c>
    </row>
    <row r="16" spans="1:1" x14ac:dyDescent="0.35">
      <c r="A16" s="16" t="s">
        <v>13</v>
      </c>
    </row>
    <row r="17" spans="1:1" x14ac:dyDescent="0.35">
      <c r="A17" s="2"/>
    </row>
    <row r="18" spans="1:1" ht="15.5" x14ac:dyDescent="0.35">
      <c r="A18" s="1" t="s">
        <v>14</v>
      </c>
    </row>
    <row r="19" spans="1:1" x14ac:dyDescent="0.35">
      <c r="A19" s="2" t="s">
        <v>15</v>
      </c>
    </row>
    <row r="20" spans="1:1" x14ac:dyDescent="0.35">
      <c r="A20" s="2" t="s">
        <v>16</v>
      </c>
    </row>
    <row r="21" spans="1:1" x14ac:dyDescent="0.35">
      <c r="A21" s="2" t="s">
        <v>17</v>
      </c>
    </row>
    <row r="22" spans="1:1" ht="15.5" x14ac:dyDescent="0.35">
      <c r="A22" s="1" t="s">
        <v>18</v>
      </c>
    </row>
    <row r="23" spans="1:1" x14ac:dyDescent="0.35">
      <c r="A23" s="2" t="s">
        <v>19</v>
      </c>
    </row>
    <row r="24" spans="1:1" x14ac:dyDescent="0.35">
      <c r="A24" s="2" t="s">
        <v>20</v>
      </c>
    </row>
    <row r="25" spans="1:1" x14ac:dyDescent="0.35">
      <c r="A25" s="2" t="s">
        <v>21</v>
      </c>
    </row>
    <row r="26" spans="1:1" x14ac:dyDescent="0.35">
      <c r="A26" s="2" t="s">
        <v>22</v>
      </c>
    </row>
    <row r="27" spans="1:1" ht="15.5" x14ac:dyDescent="0.35">
      <c r="A27" s="1" t="s">
        <v>23</v>
      </c>
    </row>
    <row r="28" spans="1:1" x14ac:dyDescent="0.35">
      <c r="A28" s="2" t="s">
        <v>24</v>
      </c>
    </row>
    <row r="29" spans="1:1" x14ac:dyDescent="0.35">
      <c r="A29" s="2" t="s">
        <v>25</v>
      </c>
    </row>
    <row r="30" spans="1:1" x14ac:dyDescent="0.35">
      <c r="A30" s="2" t="s">
        <v>26</v>
      </c>
    </row>
    <row r="31" spans="1:1" x14ac:dyDescent="0.35">
      <c r="A31" s="2" t="s">
        <v>27</v>
      </c>
    </row>
  </sheetData>
  <pageMargins left="0.75" right="0.75" top="1" bottom="1" header="0.5" footer="0.5"/>
  <pageSetup paperSize="9" fitToHeight="0" orientation="landscape"/>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pageSetUpPr fitToPage="1"/>
  </sheetPr>
  <dimension ref="A1:M31"/>
  <sheetViews>
    <sheetView workbookViewId="0">
      <pane xSplit="4" ySplit="1" topLeftCell="G26" activePane="bottomRight" state="frozen"/>
      <selection pane="topRight"/>
      <selection pane="bottomLeft"/>
      <selection pane="bottomRight" activeCell="H30" sqref="H30"/>
    </sheetView>
  </sheetViews>
  <sheetFormatPr defaultRowHeight="14.5" x14ac:dyDescent="0.35"/>
  <cols>
    <col min="1" max="1" width="5" customWidth="1"/>
    <col min="2" max="2" width="6" customWidth="1"/>
    <col min="3" max="3" width="28" customWidth="1"/>
    <col min="4" max="4" width="26" customWidth="1"/>
    <col min="5" max="5" width="34" customWidth="1"/>
    <col min="6" max="7" width="8" customWidth="1"/>
    <col min="8" max="8" width="34" customWidth="1"/>
    <col min="9" max="10" width="8" customWidth="1"/>
    <col min="11" max="11" width="34" customWidth="1"/>
    <col min="12" max="13" width="8" customWidth="1"/>
  </cols>
  <sheetData>
    <row r="1" spans="1:13" ht="43.5" x14ac:dyDescent="0.35">
      <c r="A1" s="3" t="s">
        <v>28</v>
      </c>
      <c r="B1" s="3" t="s">
        <v>29</v>
      </c>
      <c r="C1" s="3" t="s">
        <v>30</v>
      </c>
      <c r="D1" s="3" t="s">
        <v>31</v>
      </c>
      <c r="E1" s="3" t="s">
        <v>32</v>
      </c>
      <c r="F1" s="3" t="s">
        <v>33</v>
      </c>
      <c r="G1" s="3" t="s">
        <v>34</v>
      </c>
      <c r="H1" s="3" t="s">
        <v>35</v>
      </c>
      <c r="I1" s="3" t="s">
        <v>36</v>
      </c>
      <c r="J1" s="3" t="s">
        <v>37</v>
      </c>
      <c r="K1" s="3" t="s">
        <v>38</v>
      </c>
      <c r="L1" s="3" t="s">
        <v>39</v>
      </c>
      <c r="M1" s="3" t="s">
        <v>40</v>
      </c>
    </row>
    <row r="2" spans="1:13" ht="73.5" customHeight="1" x14ac:dyDescent="0.35">
      <c r="A2" s="4">
        <v>1</v>
      </c>
      <c r="B2" s="4" t="s">
        <v>41</v>
      </c>
      <c r="C2" s="5" t="s">
        <v>42</v>
      </c>
      <c r="D2" s="5" t="s">
        <v>43</v>
      </c>
      <c r="E2" s="6" t="s">
        <v>158</v>
      </c>
      <c r="F2" s="7">
        <v>2</v>
      </c>
      <c r="G2" s="7"/>
      <c r="H2" s="6" t="s">
        <v>159</v>
      </c>
      <c r="I2" s="7">
        <v>2</v>
      </c>
      <c r="J2" s="7"/>
      <c r="K2" s="6" t="s">
        <v>160</v>
      </c>
      <c r="L2" s="7">
        <v>2</v>
      </c>
      <c r="M2" s="7"/>
    </row>
    <row r="3" spans="1:13" ht="74" customHeight="1" x14ac:dyDescent="0.35">
      <c r="A3" s="4">
        <v>2</v>
      </c>
      <c r="B3" s="4" t="s">
        <v>41</v>
      </c>
      <c r="C3" s="5" t="s">
        <v>44</v>
      </c>
      <c r="D3" s="5" t="s">
        <v>45</v>
      </c>
      <c r="E3" s="6" t="s">
        <v>163</v>
      </c>
      <c r="F3" s="7">
        <v>2</v>
      </c>
      <c r="G3" s="7"/>
      <c r="H3" s="6" t="s">
        <v>162</v>
      </c>
      <c r="I3" s="7">
        <v>2</v>
      </c>
      <c r="J3" s="7"/>
      <c r="K3" s="6" t="s">
        <v>161</v>
      </c>
      <c r="L3" s="7">
        <v>2</v>
      </c>
      <c r="M3" s="7"/>
    </row>
    <row r="4" spans="1:13" ht="77" customHeight="1" x14ac:dyDescent="0.35">
      <c r="A4" s="4">
        <v>3</v>
      </c>
      <c r="B4" s="4" t="s">
        <v>41</v>
      </c>
      <c r="C4" s="5" t="s">
        <v>46</v>
      </c>
      <c r="D4" s="5" t="s">
        <v>47</v>
      </c>
      <c r="E4" s="6" t="s">
        <v>164</v>
      </c>
      <c r="F4" s="7">
        <v>2</v>
      </c>
      <c r="G4" s="7"/>
      <c r="H4" s="6" t="s">
        <v>165</v>
      </c>
      <c r="I4" s="7">
        <v>2</v>
      </c>
      <c r="J4" s="7"/>
      <c r="K4" s="6" t="s">
        <v>166</v>
      </c>
      <c r="L4" s="7">
        <v>2</v>
      </c>
      <c r="M4" s="7"/>
    </row>
    <row r="5" spans="1:13" ht="62" customHeight="1" x14ac:dyDescent="0.35">
      <c r="A5" s="4">
        <v>4</v>
      </c>
      <c r="B5" s="4" t="s">
        <v>41</v>
      </c>
      <c r="C5" s="5" t="s">
        <v>48</v>
      </c>
      <c r="D5" s="5" t="s">
        <v>49</v>
      </c>
      <c r="E5" s="6" t="s">
        <v>169</v>
      </c>
      <c r="F5" s="7">
        <v>2</v>
      </c>
      <c r="G5" s="7"/>
      <c r="H5" s="6" t="s">
        <v>168</v>
      </c>
      <c r="I5" s="7">
        <v>2</v>
      </c>
      <c r="J5" s="7"/>
      <c r="K5" s="6" t="s">
        <v>167</v>
      </c>
      <c r="L5" s="7">
        <v>2</v>
      </c>
      <c r="M5" s="7"/>
    </row>
    <row r="6" spans="1:13" ht="60" customHeight="1" x14ac:dyDescent="0.35">
      <c r="A6" s="4">
        <v>5</v>
      </c>
      <c r="B6" s="4" t="s">
        <v>41</v>
      </c>
      <c r="C6" s="5" t="s">
        <v>50</v>
      </c>
      <c r="D6" s="5" t="s">
        <v>51</v>
      </c>
      <c r="E6" s="6" t="s">
        <v>170</v>
      </c>
      <c r="F6" s="7">
        <v>2</v>
      </c>
      <c r="G6" s="7"/>
      <c r="H6" s="6" t="s">
        <v>171</v>
      </c>
      <c r="I6" s="7">
        <v>2</v>
      </c>
      <c r="J6" s="7"/>
      <c r="K6" s="6" t="s">
        <v>172</v>
      </c>
      <c r="L6" s="7">
        <v>2</v>
      </c>
      <c r="M6" s="7"/>
    </row>
    <row r="7" spans="1:13" ht="72" customHeight="1" x14ac:dyDescent="0.35">
      <c r="A7" s="4">
        <v>6</v>
      </c>
      <c r="B7" s="4" t="s">
        <v>41</v>
      </c>
      <c r="C7" s="5" t="s">
        <v>52</v>
      </c>
      <c r="D7" s="5" t="s">
        <v>53</v>
      </c>
      <c r="E7" s="6" t="s">
        <v>173</v>
      </c>
      <c r="F7" s="7">
        <v>2</v>
      </c>
      <c r="G7" s="7"/>
      <c r="H7" s="6" t="s">
        <v>174</v>
      </c>
      <c r="I7" s="7">
        <v>2</v>
      </c>
      <c r="J7" s="7"/>
      <c r="K7" s="6" t="s">
        <v>175</v>
      </c>
      <c r="L7" s="7">
        <v>2</v>
      </c>
      <c r="M7" s="7"/>
    </row>
    <row r="8" spans="1:13" ht="83" customHeight="1" x14ac:dyDescent="0.35">
      <c r="A8" s="4">
        <v>7</v>
      </c>
      <c r="B8" s="4" t="s">
        <v>41</v>
      </c>
      <c r="C8" s="5" t="s">
        <v>54</v>
      </c>
      <c r="D8" s="5" t="s">
        <v>55</v>
      </c>
      <c r="E8" s="6" t="s">
        <v>176</v>
      </c>
      <c r="F8" s="7">
        <v>2</v>
      </c>
      <c r="G8" s="7"/>
      <c r="H8" s="6" t="s">
        <v>177</v>
      </c>
      <c r="I8" s="7">
        <v>2</v>
      </c>
      <c r="J8" s="7"/>
      <c r="K8" s="6" t="s">
        <v>178</v>
      </c>
      <c r="L8" s="7">
        <v>2</v>
      </c>
      <c r="M8" s="7"/>
    </row>
    <row r="9" spans="1:13" ht="63" customHeight="1" x14ac:dyDescent="0.35">
      <c r="A9" s="4">
        <v>8</v>
      </c>
      <c r="B9" s="4" t="s">
        <v>41</v>
      </c>
      <c r="C9" s="5" t="s">
        <v>56</v>
      </c>
      <c r="D9" s="5" t="s">
        <v>57</v>
      </c>
      <c r="E9" s="6" t="s">
        <v>182</v>
      </c>
      <c r="F9" s="7">
        <v>2</v>
      </c>
      <c r="G9" s="7"/>
      <c r="H9" s="6" t="s">
        <v>183</v>
      </c>
      <c r="I9" s="7">
        <v>1</v>
      </c>
      <c r="J9" s="7" t="s">
        <v>221</v>
      </c>
      <c r="K9" s="6" t="s">
        <v>184</v>
      </c>
      <c r="L9" s="7">
        <v>1</v>
      </c>
      <c r="M9" s="7" t="s">
        <v>221</v>
      </c>
    </row>
    <row r="10" spans="1:13" ht="71.5" customHeight="1" x14ac:dyDescent="0.35">
      <c r="A10" s="4">
        <v>9</v>
      </c>
      <c r="B10" s="4" t="s">
        <v>41</v>
      </c>
      <c r="C10" s="5" t="s">
        <v>58</v>
      </c>
      <c r="D10" s="5" t="s">
        <v>59</v>
      </c>
      <c r="E10" s="6" t="s">
        <v>185</v>
      </c>
      <c r="F10" s="7">
        <v>2</v>
      </c>
      <c r="G10" s="7"/>
      <c r="H10" s="6" t="s">
        <v>187</v>
      </c>
      <c r="I10" s="7">
        <v>2</v>
      </c>
      <c r="J10" s="7"/>
      <c r="K10" s="6" t="s">
        <v>186</v>
      </c>
      <c r="L10" s="7">
        <v>2</v>
      </c>
      <c r="M10" s="7"/>
    </row>
    <row r="11" spans="1:13" ht="62.5" customHeight="1" x14ac:dyDescent="0.35">
      <c r="A11" s="4">
        <v>10</v>
      </c>
      <c r="B11" s="4" t="s">
        <v>41</v>
      </c>
      <c r="C11" s="5" t="s">
        <v>60</v>
      </c>
      <c r="D11" s="5" t="s">
        <v>61</v>
      </c>
      <c r="E11" s="6" t="s">
        <v>188</v>
      </c>
      <c r="F11" s="7">
        <v>2</v>
      </c>
      <c r="G11" s="7"/>
      <c r="H11" s="6" t="s">
        <v>189</v>
      </c>
      <c r="I11" s="7">
        <v>1</v>
      </c>
      <c r="J11" s="7" t="s">
        <v>221</v>
      </c>
      <c r="K11" s="6" t="s">
        <v>190</v>
      </c>
      <c r="L11" s="7">
        <v>2</v>
      </c>
      <c r="M11" s="7"/>
    </row>
    <row r="12" spans="1:13" ht="85.5" customHeight="1" x14ac:dyDescent="0.35">
      <c r="A12" s="4">
        <v>11</v>
      </c>
      <c r="B12" s="4" t="s">
        <v>62</v>
      </c>
      <c r="C12" s="5" t="s">
        <v>63</v>
      </c>
      <c r="D12" s="5" t="s">
        <v>64</v>
      </c>
      <c r="E12" s="6" t="s">
        <v>191</v>
      </c>
      <c r="F12" s="7">
        <v>2</v>
      </c>
      <c r="G12" s="7"/>
      <c r="H12" s="6" t="s">
        <v>192</v>
      </c>
      <c r="I12" s="7">
        <v>2</v>
      </c>
      <c r="J12" s="7"/>
      <c r="K12" s="6" t="s">
        <v>193</v>
      </c>
      <c r="L12" s="7">
        <v>2</v>
      </c>
      <c r="M12" s="7"/>
    </row>
    <row r="13" spans="1:13" ht="75.5" customHeight="1" x14ac:dyDescent="0.35">
      <c r="A13" s="4">
        <v>12</v>
      </c>
      <c r="B13" s="4" t="s">
        <v>62</v>
      </c>
      <c r="C13" s="5" t="s">
        <v>65</v>
      </c>
      <c r="D13" s="5" t="s">
        <v>66</v>
      </c>
      <c r="E13" s="6" t="s">
        <v>194</v>
      </c>
      <c r="F13" s="7">
        <v>2</v>
      </c>
      <c r="G13" s="7"/>
      <c r="H13" s="6" t="s">
        <v>195</v>
      </c>
      <c r="I13" s="7">
        <v>2</v>
      </c>
      <c r="J13" s="7"/>
      <c r="K13" s="6" t="s">
        <v>196</v>
      </c>
      <c r="L13" s="7">
        <v>2</v>
      </c>
      <c r="M13" s="7"/>
    </row>
    <row r="14" spans="1:13" ht="76.5" customHeight="1" x14ac:dyDescent="0.35">
      <c r="A14" s="4">
        <v>13</v>
      </c>
      <c r="B14" s="4" t="s">
        <v>62</v>
      </c>
      <c r="C14" s="5" t="s">
        <v>67</v>
      </c>
      <c r="D14" s="5" t="s">
        <v>68</v>
      </c>
      <c r="E14" s="6" t="s">
        <v>197</v>
      </c>
      <c r="F14" s="7">
        <v>2</v>
      </c>
      <c r="G14" s="7"/>
      <c r="H14" s="6" t="s">
        <v>198</v>
      </c>
      <c r="I14" s="7">
        <v>2</v>
      </c>
      <c r="J14" s="7"/>
      <c r="K14" s="6" t="s">
        <v>199</v>
      </c>
      <c r="L14" s="7">
        <v>2</v>
      </c>
      <c r="M14" s="7"/>
    </row>
    <row r="15" spans="1:13" ht="64" customHeight="1" x14ac:dyDescent="0.35">
      <c r="A15" s="4">
        <v>14</v>
      </c>
      <c r="B15" s="4" t="s">
        <v>62</v>
      </c>
      <c r="C15" s="5" t="s">
        <v>69</v>
      </c>
      <c r="D15" s="5" t="s">
        <v>70</v>
      </c>
      <c r="E15" s="6" t="s">
        <v>200</v>
      </c>
      <c r="F15" s="7">
        <v>2</v>
      </c>
      <c r="G15" s="7"/>
      <c r="H15" s="6" t="s">
        <v>201</v>
      </c>
      <c r="I15" s="7">
        <v>2</v>
      </c>
      <c r="J15" s="7"/>
      <c r="K15" s="6" t="s">
        <v>202</v>
      </c>
      <c r="L15" s="7">
        <v>2</v>
      </c>
      <c r="M15" s="7"/>
    </row>
    <row r="16" spans="1:13" ht="72.5" customHeight="1" x14ac:dyDescent="0.35">
      <c r="A16" s="4">
        <v>15</v>
      </c>
      <c r="B16" s="4" t="s">
        <v>62</v>
      </c>
      <c r="C16" s="5" t="s">
        <v>71</v>
      </c>
      <c r="D16" s="5" t="s">
        <v>72</v>
      </c>
      <c r="E16" s="6" t="s">
        <v>203</v>
      </c>
      <c r="F16" s="7">
        <v>2</v>
      </c>
      <c r="G16" s="7"/>
      <c r="H16" s="6" t="s">
        <v>204</v>
      </c>
      <c r="I16" s="7">
        <v>2</v>
      </c>
      <c r="J16" s="7"/>
      <c r="K16" s="6" t="s">
        <v>205</v>
      </c>
      <c r="L16" s="7">
        <v>2</v>
      </c>
      <c r="M16" s="7"/>
    </row>
    <row r="17" spans="1:13" ht="61.5" customHeight="1" x14ac:dyDescent="0.35">
      <c r="A17" s="4">
        <v>16</v>
      </c>
      <c r="B17" s="4" t="s">
        <v>62</v>
      </c>
      <c r="C17" s="5" t="s">
        <v>73</v>
      </c>
      <c r="D17" s="5" t="s">
        <v>74</v>
      </c>
      <c r="E17" s="6" t="s">
        <v>206</v>
      </c>
      <c r="F17" s="7">
        <v>2</v>
      </c>
      <c r="G17" s="7"/>
      <c r="H17" s="6" t="s">
        <v>207</v>
      </c>
      <c r="I17" s="7">
        <v>2</v>
      </c>
      <c r="J17" s="7"/>
      <c r="K17" s="6" t="s">
        <v>208</v>
      </c>
      <c r="L17" s="7">
        <v>2</v>
      </c>
      <c r="M17" s="7"/>
    </row>
    <row r="18" spans="1:13" ht="60" customHeight="1" x14ac:dyDescent="0.35">
      <c r="A18" s="4">
        <v>17</v>
      </c>
      <c r="B18" s="4" t="s">
        <v>62</v>
      </c>
      <c r="C18" s="5" t="s">
        <v>75</v>
      </c>
      <c r="D18" s="5" t="s">
        <v>76</v>
      </c>
      <c r="E18" s="6" t="s">
        <v>209</v>
      </c>
      <c r="F18" s="7">
        <v>2</v>
      </c>
      <c r="G18" s="7"/>
      <c r="H18" s="6" t="s">
        <v>210</v>
      </c>
      <c r="I18" s="7">
        <v>2</v>
      </c>
      <c r="J18" s="7"/>
      <c r="K18" s="6" t="s">
        <v>211</v>
      </c>
      <c r="L18" s="7">
        <v>2</v>
      </c>
      <c r="M18" s="7"/>
    </row>
    <row r="19" spans="1:13" ht="45" customHeight="1" x14ac:dyDescent="0.35">
      <c r="A19" s="4">
        <v>18</v>
      </c>
      <c r="B19" s="4" t="s">
        <v>62</v>
      </c>
      <c r="C19" s="5" t="s">
        <v>77</v>
      </c>
      <c r="D19" s="5" t="s">
        <v>78</v>
      </c>
      <c r="E19" s="6" t="s">
        <v>212</v>
      </c>
      <c r="F19" s="7">
        <v>2</v>
      </c>
      <c r="G19" s="7"/>
      <c r="H19" s="6" t="s">
        <v>213</v>
      </c>
      <c r="I19" s="7">
        <v>2</v>
      </c>
      <c r="J19" s="7"/>
      <c r="K19" s="6" t="s">
        <v>214</v>
      </c>
      <c r="L19" s="7">
        <v>2</v>
      </c>
      <c r="M19" s="7"/>
    </row>
    <row r="20" spans="1:13" ht="45" customHeight="1" x14ac:dyDescent="0.35">
      <c r="A20" s="4">
        <v>19</v>
      </c>
      <c r="B20" s="4" t="s">
        <v>62</v>
      </c>
      <c r="C20" s="5" t="s">
        <v>79</v>
      </c>
      <c r="D20" s="5" t="s">
        <v>80</v>
      </c>
      <c r="E20" s="6" t="s">
        <v>215</v>
      </c>
      <c r="F20" s="7">
        <v>2</v>
      </c>
      <c r="G20" s="7"/>
      <c r="H20" s="6" t="s">
        <v>216</v>
      </c>
      <c r="I20" s="7">
        <v>2</v>
      </c>
      <c r="J20" s="7"/>
      <c r="K20" s="6" t="s">
        <v>217</v>
      </c>
      <c r="L20" s="7">
        <v>2</v>
      </c>
      <c r="M20" s="7"/>
    </row>
    <row r="21" spans="1:13" ht="63.5" customHeight="1" x14ac:dyDescent="0.35">
      <c r="A21" s="4">
        <v>20</v>
      </c>
      <c r="B21" s="4" t="s">
        <v>62</v>
      </c>
      <c r="C21" s="5" t="s">
        <v>81</v>
      </c>
      <c r="D21" s="5" t="s">
        <v>82</v>
      </c>
      <c r="E21" s="6" t="s">
        <v>218</v>
      </c>
      <c r="F21" s="7">
        <v>2</v>
      </c>
      <c r="G21" s="7"/>
      <c r="H21" s="6" t="s">
        <v>219</v>
      </c>
      <c r="I21" s="7">
        <v>2</v>
      </c>
      <c r="J21" s="7"/>
      <c r="K21" s="6" t="s">
        <v>220</v>
      </c>
      <c r="L21" s="7">
        <v>2</v>
      </c>
      <c r="M21" s="7"/>
    </row>
    <row r="22" spans="1:13" ht="61.5" customHeight="1" x14ac:dyDescent="0.35">
      <c r="A22" s="4">
        <v>21</v>
      </c>
      <c r="B22" s="4" t="s">
        <v>83</v>
      </c>
      <c r="C22" s="5" t="s">
        <v>84</v>
      </c>
      <c r="D22" s="5" t="s">
        <v>85</v>
      </c>
      <c r="E22" s="6" t="s">
        <v>85</v>
      </c>
      <c r="F22" s="7">
        <v>2</v>
      </c>
      <c r="G22" s="7"/>
      <c r="H22" s="6" t="s">
        <v>222</v>
      </c>
      <c r="I22" s="7">
        <v>2</v>
      </c>
      <c r="J22" s="7"/>
      <c r="K22" s="6" t="s">
        <v>223</v>
      </c>
      <c r="L22" s="7">
        <v>2</v>
      </c>
      <c r="M22" s="7"/>
    </row>
    <row r="23" spans="1:13" ht="45" customHeight="1" x14ac:dyDescent="0.35">
      <c r="A23" s="4">
        <v>22</v>
      </c>
      <c r="B23" s="4" t="s">
        <v>83</v>
      </c>
      <c r="C23" s="5" t="s">
        <v>86</v>
      </c>
      <c r="D23" s="5" t="s">
        <v>87</v>
      </c>
      <c r="E23" s="6" t="s">
        <v>224</v>
      </c>
      <c r="F23" s="7">
        <v>2</v>
      </c>
      <c r="G23" s="7"/>
      <c r="H23" s="6" t="s">
        <v>225</v>
      </c>
      <c r="I23" s="7">
        <v>2</v>
      </c>
      <c r="J23" s="7"/>
      <c r="K23" s="6" t="s">
        <v>226</v>
      </c>
      <c r="L23" s="7">
        <v>2</v>
      </c>
      <c r="M23" s="7"/>
    </row>
    <row r="24" spans="1:13" ht="58" customHeight="1" x14ac:dyDescent="0.35">
      <c r="A24" s="4">
        <v>23</v>
      </c>
      <c r="B24" s="4" t="s">
        <v>83</v>
      </c>
      <c r="C24" s="5" t="s">
        <v>88</v>
      </c>
      <c r="D24" s="5" t="s">
        <v>89</v>
      </c>
      <c r="E24" s="6" t="s">
        <v>227</v>
      </c>
      <c r="F24" s="7">
        <v>2</v>
      </c>
      <c r="G24" s="7"/>
      <c r="H24" s="6" t="s">
        <v>228</v>
      </c>
      <c r="I24" s="7">
        <v>2</v>
      </c>
      <c r="J24" s="7"/>
      <c r="K24" s="6" t="s">
        <v>229</v>
      </c>
      <c r="L24" s="7">
        <v>2</v>
      </c>
      <c r="M24" s="7"/>
    </row>
    <row r="25" spans="1:13" ht="45" customHeight="1" x14ac:dyDescent="0.35">
      <c r="A25" s="4">
        <v>24</v>
      </c>
      <c r="B25" s="4" t="s">
        <v>83</v>
      </c>
      <c r="C25" s="5" t="s">
        <v>90</v>
      </c>
      <c r="D25" s="5" t="s">
        <v>91</v>
      </c>
      <c r="E25" s="6" t="s">
        <v>230</v>
      </c>
      <c r="F25" s="7">
        <v>2</v>
      </c>
      <c r="G25" s="7"/>
      <c r="H25" s="6" t="s">
        <v>231</v>
      </c>
      <c r="I25" s="7">
        <v>2</v>
      </c>
      <c r="J25" s="7"/>
      <c r="K25" s="6" t="s">
        <v>232</v>
      </c>
      <c r="L25" s="7">
        <v>2</v>
      </c>
      <c r="M25" s="7"/>
    </row>
    <row r="26" spans="1:13" ht="45" customHeight="1" x14ac:dyDescent="0.35">
      <c r="A26" s="4">
        <v>25</v>
      </c>
      <c r="B26" s="4" t="s">
        <v>83</v>
      </c>
      <c r="C26" s="5" t="s">
        <v>92</v>
      </c>
      <c r="D26" s="5" t="s">
        <v>93</v>
      </c>
      <c r="E26" s="6" t="s">
        <v>233</v>
      </c>
      <c r="F26" s="7">
        <v>2</v>
      </c>
      <c r="G26" s="7"/>
      <c r="H26" s="6" t="s">
        <v>234</v>
      </c>
      <c r="I26" s="7">
        <v>2</v>
      </c>
      <c r="J26" s="7"/>
      <c r="K26" s="6" t="s">
        <v>235</v>
      </c>
      <c r="L26" s="7">
        <v>0</v>
      </c>
      <c r="M26" s="7" t="s">
        <v>239</v>
      </c>
    </row>
    <row r="27" spans="1:13" ht="45" customHeight="1" x14ac:dyDescent="0.35">
      <c r="A27" s="4">
        <v>26</v>
      </c>
      <c r="B27" s="4" t="s">
        <v>83</v>
      </c>
      <c r="C27" s="5" t="s">
        <v>94</v>
      </c>
      <c r="D27" s="5" t="s">
        <v>95</v>
      </c>
      <c r="E27" s="6" t="s">
        <v>236</v>
      </c>
      <c r="F27" s="7">
        <v>2</v>
      </c>
      <c r="G27" s="7"/>
      <c r="H27" s="6" t="s">
        <v>237</v>
      </c>
      <c r="I27" s="7">
        <v>2</v>
      </c>
      <c r="J27" s="7"/>
      <c r="K27" s="6" t="s">
        <v>238</v>
      </c>
      <c r="L27" s="7">
        <v>2</v>
      </c>
      <c r="M27" s="7"/>
    </row>
    <row r="28" spans="1:13" ht="45" customHeight="1" x14ac:dyDescent="0.35">
      <c r="A28" s="4">
        <v>27</v>
      </c>
      <c r="B28" s="4" t="s">
        <v>83</v>
      </c>
      <c r="C28" s="5" t="s">
        <v>96</v>
      </c>
      <c r="D28" s="5" t="s">
        <v>97</v>
      </c>
      <c r="E28" s="6" t="s">
        <v>240</v>
      </c>
      <c r="F28" s="7">
        <v>0</v>
      </c>
      <c r="G28" s="7" t="s">
        <v>239</v>
      </c>
      <c r="H28" s="6" t="s">
        <v>241</v>
      </c>
      <c r="I28" s="7">
        <v>2</v>
      </c>
      <c r="J28" s="7"/>
      <c r="K28" s="6" t="s">
        <v>242</v>
      </c>
      <c r="L28" s="7">
        <v>0</v>
      </c>
      <c r="M28" s="7" t="s">
        <v>239</v>
      </c>
    </row>
    <row r="29" spans="1:13" ht="45" customHeight="1" x14ac:dyDescent="0.35">
      <c r="A29" s="4">
        <v>28</v>
      </c>
      <c r="B29" s="4" t="s">
        <v>83</v>
      </c>
      <c r="C29" s="5" t="s">
        <v>98</v>
      </c>
      <c r="D29" s="5" t="s">
        <v>99</v>
      </c>
      <c r="E29" s="6" t="s">
        <v>243</v>
      </c>
      <c r="F29" s="7">
        <v>2</v>
      </c>
      <c r="G29" s="7"/>
      <c r="H29" s="6" t="s">
        <v>244</v>
      </c>
      <c r="I29" s="7">
        <v>2</v>
      </c>
      <c r="J29" s="7"/>
      <c r="K29" s="6" t="s">
        <v>245</v>
      </c>
      <c r="L29" s="7">
        <v>2</v>
      </c>
      <c r="M29" s="7"/>
    </row>
    <row r="30" spans="1:13" ht="45" customHeight="1" x14ac:dyDescent="0.35">
      <c r="A30" s="4">
        <v>29</v>
      </c>
      <c r="B30" s="4" t="s">
        <v>83</v>
      </c>
      <c r="C30" s="5" t="s">
        <v>100</v>
      </c>
      <c r="D30" s="5" t="s">
        <v>101</v>
      </c>
      <c r="E30" s="6" t="s">
        <v>246</v>
      </c>
      <c r="F30" s="7">
        <v>2</v>
      </c>
      <c r="G30" s="7"/>
      <c r="H30" s="6" t="s">
        <v>247</v>
      </c>
      <c r="I30" s="7">
        <v>0</v>
      </c>
      <c r="J30" s="7" t="s">
        <v>239</v>
      </c>
      <c r="K30" s="6" t="s">
        <v>248</v>
      </c>
      <c r="L30" s="7"/>
      <c r="M30" s="7"/>
    </row>
    <row r="31" spans="1:13" ht="58" customHeight="1" x14ac:dyDescent="0.35">
      <c r="A31" s="4">
        <v>30</v>
      </c>
      <c r="B31" s="4" t="s">
        <v>83</v>
      </c>
      <c r="C31" s="5" t="s">
        <v>102</v>
      </c>
      <c r="D31" s="5" t="s">
        <v>103</v>
      </c>
      <c r="E31" s="6" t="s">
        <v>249</v>
      </c>
      <c r="F31" s="7">
        <v>2</v>
      </c>
      <c r="G31" s="7"/>
      <c r="H31" s="6" t="s">
        <v>250</v>
      </c>
      <c r="I31" s="7">
        <v>2</v>
      </c>
      <c r="J31" s="7"/>
      <c r="K31" s="6" t="s">
        <v>251</v>
      </c>
      <c r="L31" s="7">
        <v>2</v>
      </c>
      <c r="M31" s="7"/>
    </row>
  </sheetData>
  <dataValidations count="2">
    <dataValidation type="list" allowBlank="1" sqref="F2 F3 F4 F5 F6 F7 F8 F9 F10 F11 F12 F13 F14 F15 F16 F17 F18 F19 F20 F21 F22 F23 F24 F25 F26 F27 F28 F29 F30 F31 I2 I3 I4 I5 I6 I7 I8 I9 I10 I11 I12 I13 I14 I15 I16 I17 I18 I19 I20 I21 I22 I23 I24 I25 I26 I27 I28 I29 I30 I31 L2 L3 L4 L5 L6 L7 L8 L9 L10 L11 L12 L13 L14 L15 L16 L17 L18 L19 L20 L21 L22 L23 L24 L25 L26 L27 L28 L29 L30 L31">
      <formula1>"0,1,2"</formula1>
    </dataValidation>
    <dataValidation type="list" allowBlank="1" sqref="G2 G3 G4 G5 G6 G7 G8 G9 G10 G11 G12 G13 G14 G15 G16 G17 G18 G19 G20 G21 G22 G23 G24 G25 G26 G27 G28 G29 G30 G31 J2 J3 J4 J5 J6 J7 J8 J9 J10 J11 J12 J13 J14 J15 J16 J17 J18 J19 J20 J21 J22 J23 J24 J25 J26 J27 J28 J29 J30 J31 M2 M3 M4 M5 M6 M7 M8 M9 M10 M11 M12 M13 M14 M15 M16 M17 M18 M19 M20 M21 M22 M23 M24 M25 M26 M27 M28 M29 M30 M31">
      <formula1>"С,Б,О,Ж"</formula1>
    </dataValidation>
  </dataValidations>
  <pageMargins left="0.75" right="0.75" top="1" bottom="1" header="0.5" footer="0.5"/>
  <pageSetup paperSize="9" fitToHeight="0" orientation="landscape" r:id="rId1"/>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pageSetUpPr fitToPage="1"/>
  </sheetPr>
  <dimension ref="A1:M9"/>
  <sheetViews>
    <sheetView workbookViewId="0">
      <selection activeCell="M7" sqref="M7"/>
    </sheetView>
  </sheetViews>
  <sheetFormatPr defaultRowHeight="14.5" x14ac:dyDescent="0.35"/>
  <cols>
    <col min="1" max="1" width="5" customWidth="1"/>
    <col min="2" max="2" width="11" customWidth="1"/>
    <col min="3" max="3" width="26" customWidth="1"/>
    <col min="4" max="5" width="30" customWidth="1"/>
    <col min="6" max="7" width="8" customWidth="1"/>
    <col min="8" max="8" width="30" customWidth="1"/>
    <col min="9" max="10" width="8" customWidth="1"/>
    <col min="11" max="11" width="30" customWidth="1"/>
    <col min="12" max="13" width="8" customWidth="1"/>
  </cols>
  <sheetData>
    <row r="1" spans="1:13" ht="43.5" x14ac:dyDescent="0.35">
      <c r="A1" s="3" t="s">
        <v>28</v>
      </c>
      <c r="B1" s="3" t="s">
        <v>104</v>
      </c>
      <c r="C1" s="3" t="s">
        <v>105</v>
      </c>
      <c r="D1" s="3" t="s">
        <v>106</v>
      </c>
      <c r="E1" s="3" t="s">
        <v>107</v>
      </c>
      <c r="F1" s="3" t="s">
        <v>33</v>
      </c>
      <c r="G1" s="3" t="s">
        <v>34</v>
      </c>
      <c r="H1" s="3" t="s">
        <v>108</v>
      </c>
      <c r="I1" s="3" t="s">
        <v>36</v>
      </c>
      <c r="J1" s="3" t="s">
        <v>37</v>
      </c>
      <c r="K1" s="3" t="s">
        <v>109</v>
      </c>
      <c r="L1" s="3" t="s">
        <v>39</v>
      </c>
      <c r="M1" s="3" t="s">
        <v>40</v>
      </c>
    </row>
    <row r="2" spans="1:13" ht="40" customHeight="1" x14ac:dyDescent="0.35">
      <c r="A2" s="4">
        <v>1</v>
      </c>
      <c r="B2" s="4" t="s">
        <v>110</v>
      </c>
      <c r="C2" s="5" t="s">
        <v>60</v>
      </c>
      <c r="D2" s="5" t="s">
        <v>111</v>
      </c>
      <c r="E2" s="6" t="s">
        <v>252</v>
      </c>
      <c r="F2" s="7">
        <v>2</v>
      </c>
      <c r="G2" s="7"/>
      <c r="H2" s="6" t="s">
        <v>253</v>
      </c>
      <c r="I2" s="7">
        <v>2</v>
      </c>
      <c r="J2" s="7"/>
      <c r="K2" s="6" t="s">
        <v>254</v>
      </c>
      <c r="L2" s="7">
        <v>2</v>
      </c>
      <c r="M2" s="7"/>
    </row>
    <row r="3" spans="1:13" ht="45" customHeight="1" x14ac:dyDescent="0.35">
      <c r="A3" s="4">
        <v>2</v>
      </c>
      <c r="B3" s="4" t="s">
        <v>110</v>
      </c>
      <c r="C3" s="5" t="s">
        <v>112</v>
      </c>
      <c r="D3" s="5" t="s">
        <v>113</v>
      </c>
      <c r="E3" s="6" t="s">
        <v>257</v>
      </c>
      <c r="F3" s="7">
        <v>1</v>
      </c>
      <c r="G3" s="7" t="s">
        <v>221</v>
      </c>
      <c r="H3" s="6" t="s">
        <v>255</v>
      </c>
      <c r="I3" s="7">
        <v>2</v>
      </c>
      <c r="J3" s="7"/>
      <c r="K3" s="6" t="s">
        <v>256</v>
      </c>
      <c r="L3" s="7">
        <v>1</v>
      </c>
      <c r="M3" s="7" t="s">
        <v>221</v>
      </c>
    </row>
    <row r="4" spans="1:13" ht="51.5" customHeight="1" x14ac:dyDescent="0.35">
      <c r="A4" s="4">
        <v>3</v>
      </c>
      <c r="B4" s="4" t="s">
        <v>110</v>
      </c>
      <c r="C4" s="5" t="s">
        <v>114</v>
      </c>
      <c r="D4" s="5" t="s">
        <v>115</v>
      </c>
      <c r="E4" s="6" t="s">
        <v>258</v>
      </c>
      <c r="F4" s="7">
        <v>2</v>
      </c>
      <c r="G4" s="7"/>
      <c r="H4" s="6" t="s">
        <v>259</v>
      </c>
      <c r="I4" s="7">
        <v>2</v>
      </c>
      <c r="J4" s="7"/>
      <c r="K4" s="6" t="s">
        <v>260</v>
      </c>
      <c r="L4" s="7">
        <v>2</v>
      </c>
      <c r="M4" s="7"/>
    </row>
    <row r="5" spans="1:13" ht="40" customHeight="1" x14ac:dyDescent="0.35">
      <c r="A5" s="4">
        <v>4</v>
      </c>
      <c r="B5" s="4" t="s">
        <v>116</v>
      </c>
      <c r="C5" s="5" t="s">
        <v>117</v>
      </c>
      <c r="D5" s="5" t="s">
        <v>118</v>
      </c>
      <c r="E5" s="6" t="s">
        <v>261</v>
      </c>
      <c r="F5" s="7">
        <v>1</v>
      </c>
      <c r="G5" s="7" t="s">
        <v>221</v>
      </c>
      <c r="H5" s="6" t="s">
        <v>262</v>
      </c>
      <c r="I5" s="7">
        <v>2</v>
      </c>
      <c r="J5" s="7"/>
      <c r="K5" s="6" t="s">
        <v>263</v>
      </c>
      <c r="L5" s="7">
        <v>2</v>
      </c>
      <c r="M5" s="7"/>
    </row>
    <row r="6" spans="1:13" ht="40" customHeight="1" x14ac:dyDescent="0.35">
      <c r="A6" s="4">
        <v>5</v>
      </c>
      <c r="B6" s="4" t="s">
        <v>116</v>
      </c>
      <c r="C6" s="5" t="s">
        <v>98</v>
      </c>
      <c r="D6" s="5" t="s">
        <v>119</v>
      </c>
      <c r="E6" s="6" t="s">
        <v>264</v>
      </c>
      <c r="F6" s="7">
        <v>2</v>
      </c>
      <c r="G6" s="7"/>
      <c r="H6" s="6" t="s">
        <v>265</v>
      </c>
      <c r="I6" s="7">
        <v>2</v>
      </c>
      <c r="J6" s="7"/>
      <c r="K6" s="6" t="s">
        <v>266</v>
      </c>
      <c r="L6" s="7">
        <v>2</v>
      </c>
      <c r="M6" s="7"/>
    </row>
    <row r="7" spans="1:13" ht="40" customHeight="1" x14ac:dyDescent="0.35">
      <c r="A7" s="4">
        <v>6</v>
      </c>
      <c r="B7" s="4" t="s">
        <v>116</v>
      </c>
      <c r="C7" s="5" t="s">
        <v>120</v>
      </c>
      <c r="D7" s="5" t="s">
        <v>121</v>
      </c>
      <c r="E7" s="6" t="s">
        <v>267</v>
      </c>
      <c r="F7" s="7">
        <v>2</v>
      </c>
      <c r="G7" s="7"/>
      <c r="H7" s="6" t="s">
        <v>268</v>
      </c>
      <c r="I7" s="7">
        <v>2</v>
      </c>
      <c r="J7" s="7"/>
      <c r="K7" s="6" t="s">
        <v>269</v>
      </c>
      <c r="L7" s="7">
        <v>2</v>
      </c>
      <c r="M7" s="7"/>
    </row>
    <row r="9" spans="1:13" x14ac:dyDescent="0.35">
      <c r="A9" s="8" t="s">
        <v>122</v>
      </c>
    </row>
  </sheetData>
  <dataValidations count="2">
    <dataValidation type="list" allowBlank="1" sqref="F2 F3 F4 F5 F6 F7 F8 F9 F10 F11 F12 F13 F14 F15 F16 F17 F18 F19 F20 F21 F22 F23 F24 F25 F26 F27 F28 F29 F30 F31 I2 I3 I4 I5 I6 I7 I8 I9 I10 I11 I12 I13 I14 I15 I16 I17 I18 I19 I20 I21 I22 I23 I24 I25 I26 I27 I28 I29 I30 I31 L2 L3 L4 L5 L6 L7 L8 L9 L10 L11 L12 L13 L14 L15 L16 L17 L18 L19 L20 L21 L22 L23 L24 L25 L26 L27 L28 L29 L30 L31">
      <formula1>"0,1,2"</formula1>
    </dataValidation>
    <dataValidation type="list" allowBlank="1" sqref="G2 G3 G4 G5 G6 G7 G8 G9 G10 G11 G12 G13 G14 G15 G16 G17 G18 G19 G20 G21 G22 G23 G24 G25 G26 G27 G28 G29 G30 G31 J2 J3 J4 J5 J6 J7 J8 J9 J10 J11 J12 J13 J14 J15 J16 J17 J18 J19 J20 J21 J22 J23 J24 J25 J26 J27 J28 J29 J30 J31 M2 M3 M4 M5 M6 M7 M8 M9 M10 M11 M12 M13 M14 M15 M16 M17 M18 M19 M20 M21 M22 M23 M24 M25 M26 M27 M28 M29 M30 M31">
      <formula1>"С,Б,О,Ж"</formula1>
    </dataValidation>
  </dataValidations>
  <pageMargins left="0.75" right="0.75" top="1" bottom="1" header="0.5" footer="0.5"/>
  <pageSetup paperSize="9" fitToHeight="0" orientation="landscape"/>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pageSetUpPr fitToPage="1"/>
  </sheetPr>
  <dimension ref="A1:H26"/>
  <sheetViews>
    <sheetView topLeftCell="A8" workbookViewId="0">
      <selection activeCell="G28" sqref="G28"/>
    </sheetView>
  </sheetViews>
  <sheetFormatPr defaultRowHeight="14.5" x14ac:dyDescent="0.35"/>
  <cols>
    <col min="1" max="1" width="22" customWidth="1"/>
    <col min="2" max="2" width="5" customWidth="1"/>
    <col min="3" max="3" width="32" customWidth="1"/>
    <col min="4" max="4" width="8" customWidth="1"/>
    <col min="5" max="5" width="32" customWidth="1"/>
    <col min="6" max="6" width="8" customWidth="1"/>
    <col min="7" max="7" width="32" customWidth="1"/>
    <col min="8" max="8" width="8" customWidth="1"/>
  </cols>
  <sheetData>
    <row r="1" spans="1:8" ht="29" x14ac:dyDescent="0.35">
      <c r="A1" s="3" t="s">
        <v>123</v>
      </c>
      <c r="B1" s="3" t="s">
        <v>28</v>
      </c>
      <c r="C1" s="3" t="s">
        <v>107</v>
      </c>
      <c r="D1" s="3" t="s">
        <v>124</v>
      </c>
      <c r="E1" s="3" t="s">
        <v>108</v>
      </c>
      <c r="F1" s="3" t="s">
        <v>125</v>
      </c>
      <c r="G1" s="3" t="s">
        <v>109</v>
      </c>
      <c r="H1" s="3" t="s">
        <v>126</v>
      </c>
    </row>
    <row r="2" spans="1:8" x14ac:dyDescent="0.35">
      <c r="A2" s="11" t="s">
        <v>127</v>
      </c>
      <c r="B2" s="4">
        <v>1</v>
      </c>
      <c r="C2" s="6" t="s">
        <v>46</v>
      </c>
      <c r="D2" s="7"/>
      <c r="E2" s="6" t="s">
        <v>46</v>
      </c>
      <c r="F2" s="7"/>
      <c r="G2" s="6" t="s">
        <v>46</v>
      </c>
      <c r="H2" s="7"/>
    </row>
    <row r="3" spans="1:8" x14ac:dyDescent="0.35">
      <c r="A3" s="12"/>
      <c r="B3" s="4">
        <v>2</v>
      </c>
      <c r="C3" s="6" t="s">
        <v>270</v>
      </c>
      <c r="D3" s="7"/>
      <c r="E3" s="6" t="s">
        <v>270</v>
      </c>
      <c r="F3" s="7"/>
      <c r="G3" s="6" t="s">
        <v>270</v>
      </c>
      <c r="H3" s="7"/>
    </row>
    <row r="4" spans="1:8" x14ac:dyDescent="0.35">
      <c r="A4" s="12"/>
      <c r="B4" s="4">
        <v>3</v>
      </c>
      <c r="C4" s="6" t="s">
        <v>271</v>
      </c>
      <c r="D4" s="7"/>
      <c r="E4" s="6" t="s">
        <v>274</v>
      </c>
      <c r="F4" s="7"/>
      <c r="G4" s="6" t="s">
        <v>277</v>
      </c>
      <c r="H4" s="7"/>
    </row>
    <row r="5" spans="1:8" x14ac:dyDescent="0.35">
      <c r="A5" s="12"/>
      <c r="B5" s="4">
        <v>4</v>
      </c>
      <c r="C5" s="6" t="s">
        <v>272</v>
      </c>
      <c r="D5" s="7" t="s">
        <v>299</v>
      </c>
      <c r="E5" s="6" t="s">
        <v>275</v>
      </c>
      <c r="F5" s="7"/>
      <c r="G5" s="6" t="s">
        <v>278</v>
      </c>
      <c r="H5" s="7"/>
    </row>
    <row r="6" spans="1:8" x14ac:dyDescent="0.35">
      <c r="A6" s="13"/>
      <c r="B6" s="4">
        <v>5</v>
      </c>
      <c r="C6" s="6" t="s">
        <v>273</v>
      </c>
      <c r="D6" s="7"/>
      <c r="E6" s="6" t="s">
        <v>276</v>
      </c>
      <c r="F6" s="7"/>
      <c r="G6" s="6" t="s">
        <v>279</v>
      </c>
      <c r="H6" s="7"/>
    </row>
    <row r="7" spans="1:8" x14ac:dyDescent="0.35">
      <c r="A7" s="11" t="s">
        <v>128</v>
      </c>
      <c r="B7" s="4">
        <v>1</v>
      </c>
      <c r="C7" s="6" t="s">
        <v>98</v>
      </c>
      <c r="D7" s="7"/>
      <c r="E7" s="6" t="s">
        <v>98</v>
      </c>
      <c r="F7" s="7"/>
      <c r="G7" s="6" t="s">
        <v>98</v>
      </c>
      <c r="H7" s="7"/>
    </row>
    <row r="8" spans="1:8" x14ac:dyDescent="0.35">
      <c r="A8" s="12"/>
      <c r="B8" s="4">
        <v>2</v>
      </c>
      <c r="C8" s="6" t="s">
        <v>266</v>
      </c>
      <c r="D8" s="7"/>
      <c r="E8" s="6" t="s">
        <v>266</v>
      </c>
      <c r="F8" s="7"/>
      <c r="G8" s="6" t="s">
        <v>266</v>
      </c>
      <c r="H8" s="7"/>
    </row>
    <row r="9" spans="1:8" x14ac:dyDescent="0.35">
      <c r="A9" s="12"/>
      <c r="B9" s="4">
        <v>3</v>
      </c>
      <c r="C9" s="6" t="s">
        <v>280</v>
      </c>
      <c r="D9" s="7"/>
      <c r="E9" s="6" t="s">
        <v>283</v>
      </c>
      <c r="F9" s="7"/>
      <c r="G9" s="6" t="s">
        <v>288</v>
      </c>
      <c r="H9" s="7"/>
    </row>
    <row r="10" spans="1:8" x14ac:dyDescent="0.35">
      <c r="A10" s="12"/>
      <c r="B10" s="4">
        <v>4</v>
      </c>
      <c r="C10" s="6" t="s">
        <v>281</v>
      </c>
      <c r="D10" s="7"/>
      <c r="E10" s="6" t="s">
        <v>284</v>
      </c>
      <c r="F10" s="7"/>
      <c r="G10" s="6" t="s">
        <v>286</v>
      </c>
      <c r="H10" s="7"/>
    </row>
    <row r="11" spans="1:8" x14ac:dyDescent="0.35">
      <c r="A11" s="13"/>
      <c r="B11" s="4">
        <v>5</v>
      </c>
      <c r="C11" s="6" t="s">
        <v>282</v>
      </c>
      <c r="D11" s="7" t="s">
        <v>299</v>
      </c>
      <c r="E11" s="6" t="s">
        <v>285</v>
      </c>
      <c r="F11" s="7"/>
      <c r="G11" s="6" t="s">
        <v>287</v>
      </c>
      <c r="H11" s="7" t="s">
        <v>299</v>
      </c>
    </row>
    <row r="12" spans="1:8" x14ac:dyDescent="0.35">
      <c r="A12" s="11" t="s">
        <v>129</v>
      </c>
      <c r="B12" s="4">
        <v>1</v>
      </c>
      <c r="C12" s="6" t="s">
        <v>289</v>
      </c>
      <c r="D12" s="7"/>
      <c r="E12" s="6" t="s">
        <v>294</v>
      </c>
      <c r="F12" s="7"/>
      <c r="G12" s="6" t="s">
        <v>289</v>
      </c>
      <c r="H12" s="7"/>
    </row>
    <row r="13" spans="1:8" x14ac:dyDescent="0.35">
      <c r="A13" s="12"/>
      <c r="B13" s="4">
        <v>2</v>
      </c>
      <c r="C13" s="6" t="s">
        <v>290</v>
      </c>
      <c r="D13" s="7"/>
      <c r="E13" s="6" t="s">
        <v>295</v>
      </c>
      <c r="F13" s="7"/>
      <c r="G13" s="6" t="s">
        <v>291</v>
      </c>
      <c r="H13" s="7"/>
    </row>
    <row r="14" spans="1:8" x14ac:dyDescent="0.35">
      <c r="A14" s="12"/>
      <c r="B14" s="4">
        <v>3</v>
      </c>
      <c r="C14" s="6" t="s">
        <v>291</v>
      </c>
      <c r="D14" s="7"/>
      <c r="E14" s="6" t="s">
        <v>296</v>
      </c>
      <c r="F14" s="7" t="s">
        <v>298</v>
      </c>
      <c r="G14" s="6" t="s">
        <v>300</v>
      </c>
      <c r="H14" s="7"/>
    </row>
    <row r="15" spans="1:8" ht="29" x14ac:dyDescent="0.35">
      <c r="A15" s="12"/>
      <c r="B15" s="4">
        <v>4</v>
      </c>
      <c r="C15" s="6" t="s">
        <v>292</v>
      </c>
      <c r="D15" s="7" t="s">
        <v>299</v>
      </c>
      <c r="E15" s="6" t="s">
        <v>297</v>
      </c>
      <c r="F15" s="7" t="s">
        <v>298</v>
      </c>
      <c r="G15" s="6" t="s">
        <v>301</v>
      </c>
      <c r="H15" s="7" t="s">
        <v>299</v>
      </c>
    </row>
    <row r="16" spans="1:8" x14ac:dyDescent="0.35">
      <c r="A16" s="13"/>
      <c r="B16" s="4">
        <v>5</v>
      </c>
      <c r="C16" s="6" t="s">
        <v>293</v>
      </c>
      <c r="D16" s="7" t="s">
        <v>299</v>
      </c>
      <c r="E16" s="6"/>
      <c r="F16" s="7"/>
      <c r="G16" s="6" t="s">
        <v>302</v>
      </c>
      <c r="H16" s="7"/>
    </row>
    <row r="17" spans="1:8" x14ac:dyDescent="0.35">
      <c r="A17" s="11" t="s">
        <v>130</v>
      </c>
      <c r="B17" s="4">
        <v>1</v>
      </c>
      <c r="C17" s="6" t="s">
        <v>303</v>
      </c>
      <c r="D17" s="7"/>
      <c r="E17" s="6" t="s">
        <v>307</v>
      </c>
      <c r="F17" s="7"/>
      <c r="G17" s="6" t="s">
        <v>67</v>
      </c>
      <c r="H17" s="7"/>
    </row>
    <row r="18" spans="1:8" x14ac:dyDescent="0.35">
      <c r="A18" s="12"/>
      <c r="B18" s="4">
        <v>2</v>
      </c>
      <c r="C18" s="6" t="s">
        <v>304</v>
      </c>
      <c r="D18" s="7"/>
      <c r="E18" s="6" t="s">
        <v>308</v>
      </c>
      <c r="F18" s="7"/>
      <c r="G18" s="6" t="s">
        <v>312</v>
      </c>
      <c r="H18" s="7" t="s">
        <v>299</v>
      </c>
    </row>
    <row r="19" spans="1:8" x14ac:dyDescent="0.35">
      <c r="A19" s="12"/>
      <c r="B19" s="4">
        <v>3</v>
      </c>
      <c r="C19" s="6" t="s">
        <v>67</v>
      </c>
      <c r="D19" s="7"/>
      <c r="E19" s="6" t="s">
        <v>309</v>
      </c>
      <c r="F19" s="7"/>
      <c r="G19" s="6" t="s">
        <v>313</v>
      </c>
      <c r="H19" s="7"/>
    </row>
    <row r="20" spans="1:8" x14ac:dyDescent="0.35">
      <c r="A20" s="12"/>
      <c r="B20" s="4">
        <v>4</v>
      </c>
      <c r="C20" s="6" t="s">
        <v>305</v>
      </c>
      <c r="D20" s="7" t="s">
        <v>299</v>
      </c>
      <c r="E20" s="6" t="s">
        <v>310</v>
      </c>
      <c r="F20" s="7" t="s">
        <v>299</v>
      </c>
      <c r="G20" s="6" t="s">
        <v>314</v>
      </c>
      <c r="H20" s="7"/>
    </row>
    <row r="21" spans="1:8" x14ac:dyDescent="0.35">
      <c r="A21" s="13"/>
      <c r="B21" s="4">
        <v>5</v>
      </c>
      <c r="C21" s="6" t="s">
        <v>306</v>
      </c>
      <c r="D21" s="7"/>
      <c r="E21" s="6" t="s">
        <v>311</v>
      </c>
      <c r="F21" s="7" t="s">
        <v>299</v>
      </c>
      <c r="G21" s="6" t="s">
        <v>315</v>
      </c>
      <c r="H21" s="7"/>
    </row>
    <row r="22" spans="1:8" x14ac:dyDescent="0.35">
      <c r="A22" s="11" t="s">
        <v>131</v>
      </c>
      <c r="B22" s="4">
        <v>1</v>
      </c>
      <c r="C22" s="6" t="s">
        <v>316</v>
      </c>
      <c r="D22" s="7"/>
      <c r="E22" s="6" t="s">
        <v>321</v>
      </c>
      <c r="F22" s="7"/>
      <c r="G22" s="6" t="s">
        <v>326</v>
      </c>
      <c r="H22" s="7"/>
    </row>
    <row r="23" spans="1:8" x14ac:dyDescent="0.35">
      <c r="A23" s="12"/>
      <c r="B23" s="4">
        <v>2</v>
      </c>
      <c r="C23" s="6" t="s">
        <v>317</v>
      </c>
      <c r="D23" s="7"/>
      <c r="E23" s="6" t="s">
        <v>322</v>
      </c>
      <c r="F23" s="7" t="s">
        <v>299</v>
      </c>
      <c r="G23" s="6" t="s">
        <v>327</v>
      </c>
      <c r="H23" s="7"/>
    </row>
    <row r="24" spans="1:8" x14ac:dyDescent="0.35">
      <c r="A24" s="12"/>
      <c r="B24" s="4">
        <v>3</v>
      </c>
      <c r="C24" s="6" t="s">
        <v>318</v>
      </c>
      <c r="D24" s="7"/>
      <c r="E24" s="6" t="s">
        <v>323</v>
      </c>
      <c r="F24" s="7"/>
      <c r="G24" s="6" t="s">
        <v>319</v>
      </c>
      <c r="H24" s="7"/>
    </row>
    <row r="25" spans="1:8" x14ac:dyDescent="0.35">
      <c r="A25" s="12"/>
      <c r="B25" s="4">
        <v>4</v>
      </c>
      <c r="C25" s="6" t="s">
        <v>319</v>
      </c>
      <c r="D25" s="7"/>
      <c r="E25" s="6" t="s">
        <v>324</v>
      </c>
      <c r="F25" s="7"/>
      <c r="G25" s="6" t="s">
        <v>328</v>
      </c>
      <c r="H25" s="7"/>
    </row>
    <row r="26" spans="1:8" x14ac:dyDescent="0.35">
      <c r="A26" s="13"/>
      <c r="B26" s="4">
        <v>5</v>
      </c>
      <c r="C26" s="6" t="s">
        <v>320</v>
      </c>
      <c r="D26" s="7"/>
      <c r="E26" s="6" t="s">
        <v>325</v>
      </c>
      <c r="F26" s="7" t="s">
        <v>299</v>
      </c>
      <c r="G26" s="6" t="s">
        <v>329</v>
      </c>
      <c r="H26" s="7"/>
    </row>
  </sheetData>
  <mergeCells count="5">
    <mergeCell ref="A22:A26"/>
    <mergeCell ref="A17:A21"/>
    <mergeCell ref="A12:A16"/>
    <mergeCell ref="A2:A6"/>
    <mergeCell ref="A7:A11"/>
  </mergeCells>
  <dataValidations count="1">
    <dataValidation type="list" allowBlank="1" sqref="D2:D26 F2:F26 H2:H26">
      <formula1>"Н,М,Ж,Т"</formula1>
    </dataValidation>
  </dataValidations>
  <pageMargins left="0.75" right="0.75" top="1" bottom="1" header="0.5" footer="0.5"/>
  <pageSetup paperSize="9" fitToHeight="0" orientation="landscape"/>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pageSetUpPr fitToPage="1"/>
  </sheetPr>
  <dimension ref="A1:E31"/>
  <sheetViews>
    <sheetView tabSelected="1" workbookViewId="0">
      <selection activeCell="D25" sqref="D25"/>
    </sheetView>
  </sheetViews>
  <sheetFormatPr defaultRowHeight="14.5" x14ac:dyDescent="0.35"/>
  <cols>
    <col min="1" max="1" width="44" customWidth="1"/>
    <col min="2" max="5" width="16" customWidth="1"/>
  </cols>
  <sheetData>
    <row r="1" spans="1:5" x14ac:dyDescent="0.35">
      <c r="A1" s="9" t="s">
        <v>132</v>
      </c>
    </row>
    <row r="2" spans="1:5" x14ac:dyDescent="0.35">
      <c r="A2" s="5" t="s">
        <v>179</v>
      </c>
      <c r="B2" s="14" t="s">
        <v>179</v>
      </c>
      <c r="C2" s="15"/>
      <c r="D2" s="15"/>
      <c r="E2" s="15"/>
    </row>
    <row r="3" spans="1:5" x14ac:dyDescent="0.35">
      <c r="A3" s="5" t="s">
        <v>133</v>
      </c>
      <c r="B3" s="14" t="s">
        <v>181</v>
      </c>
      <c r="C3" s="15"/>
      <c r="D3" s="15"/>
      <c r="E3" s="15"/>
    </row>
    <row r="4" spans="1:5" x14ac:dyDescent="0.35">
      <c r="A4" s="5" t="s">
        <v>134</v>
      </c>
      <c r="B4" s="14" t="s">
        <v>180</v>
      </c>
      <c r="C4" s="15"/>
      <c r="D4" s="15"/>
      <c r="E4" s="15"/>
    </row>
    <row r="6" spans="1:5" x14ac:dyDescent="0.35">
      <c r="A6" s="9" t="s">
        <v>135</v>
      </c>
    </row>
    <row r="7" spans="1:5" x14ac:dyDescent="0.35">
      <c r="A7" s="3" t="s">
        <v>29</v>
      </c>
      <c r="B7" s="3" t="s">
        <v>179</v>
      </c>
      <c r="C7" s="3" t="s">
        <v>181</v>
      </c>
      <c r="D7" s="3" t="s">
        <v>180</v>
      </c>
      <c r="E7" s="3" t="s">
        <v>136</v>
      </c>
    </row>
    <row r="8" spans="1:5" x14ac:dyDescent="0.35">
      <c r="A8" s="5" t="s">
        <v>137</v>
      </c>
      <c r="B8" s="4">
        <f>IFERROR(ROUND(SUM('1-тәжірибе'!F2:F11)/(2*COUNT('1-тәжірибе'!F2:F11))*100,1),"")</f>
        <v>100</v>
      </c>
      <c r="C8" s="4">
        <f>IFERROR(ROUND(SUM('1-тәжірибе'!I2:I11)/(2*COUNT('1-тәжірибе'!I2:I11))*100,1),"")</f>
        <v>90</v>
      </c>
      <c r="D8" s="4">
        <f>IFERROR(ROUND(SUM('1-тәжірибе'!L2:L11)/(2*COUNT('1-тәжірибе'!L2:L11))*100,1),"")</f>
        <v>95</v>
      </c>
      <c r="E8" s="4">
        <f>IFERROR(ROUND(AVERAGE(B8:D8),1),"")</f>
        <v>95</v>
      </c>
    </row>
    <row r="9" spans="1:5" x14ac:dyDescent="0.35">
      <c r="A9" s="5" t="s">
        <v>138</v>
      </c>
      <c r="B9" s="4">
        <f>IFERROR(ROUND(SUM('1-тәжірибе'!F12:F21)/(2*COUNT('1-тәжірибе'!F12:F21))*100,1),"")</f>
        <v>100</v>
      </c>
      <c r="C9" s="4">
        <f>IFERROR(ROUND(SUM('1-тәжірибе'!I12:I21)/(2*COUNT('1-тәжірибе'!I12:I21))*100,1),"")</f>
        <v>100</v>
      </c>
      <c r="D9" s="4">
        <f>IFERROR(ROUND(SUM('1-тәжірибе'!L12:L21)/(2*COUNT('1-тәжірибе'!L12:L21))*100,1),"")</f>
        <v>100</v>
      </c>
      <c r="E9" s="4">
        <f>IFERROR(ROUND(AVERAGE(B9:D9),1),"")</f>
        <v>100</v>
      </c>
    </row>
    <row r="10" spans="1:5" x14ac:dyDescent="0.35">
      <c r="A10" s="5" t="s">
        <v>139</v>
      </c>
      <c r="B10" s="4">
        <f>IFERROR(ROUND(SUM('1-тәжірибе'!F22:F31)/(2*COUNT('1-тәжірибе'!F22:F31))*100,1),"")</f>
        <v>90</v>
      </c>
      <c r="C10" s="4">
        <f>IFERROR(ROUND(SUM('1-тәжірибе'!I22:I31)/(2*COUNT('1-тәжірибе'!I22:I31))*100,1),"")</f>
        <v>90</v>
      </c>
      <c r="D10" s="4">
        <f>IFERROR(ROUND(SUM('1-тәжірибе'!L22:L31)/(2*COUNT('1-тәжірибе'!L22:L31))*100,1),"")</f>
        <v>77.8</v>
      </c>
      <c r="E10" s="4">
        <f>IFERROR(ROUND(AVERAGE(B10:D10),1),"")</f>
        <v>85.9</v>
      </c>
    </row>
    <row r="11" spans="1:5" x14ac:dyDescent="0.35">
      <c r="A11" s="10" t="s">
        <v>140</v>
      </c>
      <c r="B11" s="4">
        <f>IFERROR(ROUND(SUM('1-тәжірибе'!F2:F31)/(2*COUNT('1-тәжірибе'!F2:F31))*100,1),"")</f>
        <v>96.7</v>
      </c>
      <c r="C11" s="4">
        <f>IFERROR(ROUND(SUM('1-тәжірибе'!I2:I31)/(2*COUNT('1-тәжірибе'!I2:I31))*100,1),"")</f>
        <v>93.3</v>
      </c>
      <c r="D11" s="4">
        <f>IFERROR(ROUND(SUM('1-тәжірибе'!L2:L31)/(2*COUNT('1-тәжірибе'!L2:L31))*100,1),"")</f>
        <v>91.4</v>
      </c>
      <c r="E11" s="4">
        <f>IFERROR(ROUND(AVERAGE(B11:D11),1),"")</f>
        <v>93.8</v>
      </c>
    </row>
    <row r="13" spans="1:5" x14ac:dyDescent="0.35">
      <c r="A13" s="9" t="s">
        <v>141</v>
      </c>
    </row>
    <row r="14" spans="1:5" x14ac:dyDescent="0.35">
      <c r="A14" s="3" t="s">
        <v>142</v>
      </c>
      <c r="B14" s="3" t="s">
        <v>179</v>
      </c>
      <c r="C14" s="3" t="s">
        <v>181</v>
      </c>
      <c r="D14" s="3" t="s">
        <v>180</v>
      </c>
      <c r="E14" s="3" t="s">
        <v>143</v>
      </c>
    </row>
    <row r="15" spans="1:5" x14ac:dyDescent="0.35">
      <c r="A15" s="5" t="s">
        <v>144</v>
      </c>
      <c r="B15" s="4">
        <f>COUNTIF('1-тәжірибе'!G2:G31,"С")</f>
        <v>0</v>
      </c>
      <c r="C15" s="4">
        <f>COUNTIF('1-тәжірибе'!J2:J31,"С")</f>
        <v>0</v>
      </c>
      <c r="D15" s="4">
        <f>COUNTIF('1-тәжірибе'!M2:M31,"С")</f>
        <v>0</v>
      </c>
      <c r="E15" s="4">
        <f>SUM(B15:D15)</f>
        <v>0</v>
      </c>
    </row>
    <row r="16" spans="1:5" x14ac:dyDescent="0.35">
      <c r="A16" s="5" t="s">
        <v>145</v>
      </c>
      <c r="B16" s="4">
        <f>COUNTIF('1-тәжірибе'!G2:G31,"Б")</f>
        <v>0</v>
      </c>
      <c r="C16" s="4">
        <f>COUNTIF('1-тәжірибе'!J2:J31,"Б")</f>
        <v>0</v>
      </c>
      <c r="D16" s="4">
        <f>COUNTIF('1-тәжірибе'!M2:M31,"Б")</f>
        <v>0</v>
      </c>
      <c r="E16" s="4">
        <f>SUM(B16:D16)</f>
        <v>0</v>
      </c>
    </row>
    <row r="17" spans="1:5" x14ac:dyDescent="0.35">
      <c r="A17" s="5" t="s">
        <v>146</v>
      </c>
      <c r="B17" s="4">
        <f>COUNTIF('1-тәжірибе'!G2:G31,"О")</f>
        <v>1</v>
      </c>
      <c r="C17" s="4">
        <f>COUNTIF('1-тәжірибе'!J2:J31,"О")</f>
        <v>1</v>
      </c>
      <c r="D17" s="4">
        <f>COUNTIF('1-тәжірибе'!M2:M31,"О")</f>
        <v>2</v>
      </c>
      <c r="E17" s="4">
        <f>SUM(B17:D17)</f>
        <v>4</v>
      </c>
    </row>
    <row r="18" spans="1:5" x14ac:dyDescent="0.35">
      <c r="A18" s="5" t="s">
        <v>147</v>
      </c>
      <c r="B18" s="4">
        <f>COUNTIF('1-тәжірибе'!G2:G31,"Ж")</f>
        <v>0</v>
      </c>
      <c r="C18" s="4">
        <f>COUNTIF('1-тәжірибе'!J2:J31,"Ж")</f>
        <v>2</v>
      </c>
      <c r="D18" s="4">
        <f>COUNTIF('1-тәжірибе'!M2:M31,"Ж")</f>
        <v>1</v>
      </c>
      <c r="E18" s="4">
        <f>SUM(B18:D18)</f>
        <v>3</v>
      </c>
    </row>
    <row r="20" spans="1:5" x14ac:dyDescent="0.35">
      <c r="A20" s="9" t="s">
        <v>148</v>
      </c>
    </row>
    <row r="21" spans="1:5" x14ac:dyDescent="0.35">
      <c r="A21" s="3" t="s">
        <v>104</v>
      </c>
      <c r="B21" s="3" t="s">
        <v>179</v>
      </c>
      <c r="C21" s="3" t="s">
        <v>181</v>
      </c>
      <c r="D21" s="3" t="s">
        <v>180</v>
      </c>
      <c r="E21" s="3" t="s">
        <v>136</v>
      </c>
    </row>
    <row r="22" spans="1:5" x14ac:dyDescent="0.35">
      <c r="A22" s="5" t="s">
        <v>149</v>
      </c>
      <c r="B22" s="4">
        <f>IF(COUNT('2-тәжірибе'!F2:F4)=0,"",SUM('2-тәжірибе'!F2:F4))</f>
        <v>5</v>
      </c>
      <c r="C22" s="4">
        <f>IF(COUNT('2-тәжірибе'!I2:I4)=0,"",SUM('2-тәжірибе'!I2:I4))</f>
        <v>6</v>
      </c>
      <c r="D22" s="4">
        <f>IF(COUNT('2-тәжірибе'!L2:L4)=0,"",SUM('2-тәжірибе'!L2:L4))</f>
        <v>5</v>
      </c>
      <c r="E22" s="4">
        <f>IFERROR(ROUND(AVERAGE(B22:D22),1),"")</f>
        <v>5.3</v>
      </c>
    </row>
    <row r="23" spans="1:5" x14ac:dyDescent="0.35">
      <c r="A23" s="5" t="s">
        <v>150</v>
      </c>
      <c r="B23" s="4">
        <f>IF(COUNT('2-тәжірибе'!F5:F7)=0,"",SUM('2-тәжірибе'!F5:F7))</f>
        <v>5</v>
      </c>
      <c r="C23" s="4">
        <f>IF(COUNT('2-тәжірибе'!I5:I7)=0,"",SUM('2-тәжірибе'!I5:I7))</f>
        <v>6</v>
      </c>
      <c r="D23" s="4">
        <f>IF(COUNT('2-тәжірибе'!L5:L7)=0,"",SUM('2-тәжірибе'!L5:L7))</f>
        <v>6</v>
      </c>
      <c r="E23" s="4">
        <f>IFERROR(ROUND(AVERAGE(B23:D23),1),"")</f>
        <v>5.7</v>
      </c>
    </row>
    <row r="24" spans="1:5" x14ac:dyDescent="0.35">
      <c r="A24" s="5" t="s">
        <v>151</v>
      </c>
      <c r="B24" s="4">
        <f>IF(COUNT('2-тәжірибе'!F2:F7)=0,"",SUM('2-тәжірибе'!F2:F7))</f>
        <v>10</v>
      </c>
      <c r="C24" s="4">
        <f>IF(COUNT('2-тәжірибе'!I2:I7)=0,"",SUM('2-тәжірибе'!I2:I7))</f>
        <v>12</v>
      </c>
      <c r="D24" s="4">
        <f>IF(COUNT('2-тәжірибе'!L2:L7)=0,"",SUM('2-тәжірибе'!L2:L7))</f>
        <v>11</v>
      </c>
      <c r="E24" s="4">
        <f>IFERROR(ROUND(AVERAGE(B24:D24),1),"")</f>
        <v>11</v>
      </c>
    </row>
    <row r="26" spans="1:5" x14ac:dyDescent="0.35">
      <c r="A26" s="9" t="s">
        <v>152</v>
      </c>
    </row>
    <row r="27" spans="1:5" x14ac:dyDescent="0.35">
      <c r="A27" s="3" t="s">
        <v>153</v>
      </c>
      <c r="B27" s="3" t="s">
        <v>179</v>
      </c>
      <c r="C27" s="3" t="s">
        <v>181</v>
      </c>
      <c r="D27" s="3" t="s">
        <v>180</v>
      </c>
      <c r="E27" s="3" t="s">
        <v>143</v>
      </c>
    </row>
    <row r="28" spans="1:5" x14ac:dyDescent="0.35">
      <c r="A28" s="5" t="s">
        <v>154</v>
      </c>
      <c r="B28" s="4">
        <f>COUNTIF('3-тәжірибе'!D2:D26,"Н")</f>
        <v>0</v>
      </c>
      <c r="C28" s="4">
        <f>COUNTIF('3-тәжірибе'!F2:F26,"Н")</f>
        <v>0</v>
      </c>
      <c r="D28" s="4">
        <f>COUNTIF('3-тәжірибе'!H2:H26,"Н")</f>
        <v>0</v>
      </c>
      <c r="E28" s="4">
        <f>SUM(B28:D28)</f>
        <v>0</v>
      </c>
    </row>
    <row r="29" spans="1:5" x14ac:dyDescent="0.35">
      <c r="A29" s="5" t="s">
        <v>155</v>
      </c>
      <c r="B29" s="4">
        <f>COUNTIF('3-тәжірибе'!D2:D26,"М")</f>
        <v>0</v>
      </c>
      <c r="C29" s="4">
        <f>COUNTIF('3-тәжірибе'!F2:F26,"М")</f>
        <v>2</v>
      </c>
      <c r="D29" s="4">
        <f>COUNTIF('3-тәжірибе'!H2:H26,"М")</f>
        <v>0</v>
      </c>
      <c r="E29" s="4">
        <f>SUM(B29:D29)</f>
        <v>2</v>
      </c>
    </row>
    <row r="30" spans="1:5" x14ac:dyDescent="0.35">
      <c r="A30" s="5" t="s">
        <v>156</v>
      </c>
      <c r="B30" s="4">
        <f>COUNTIF('3-тәжірибе'!D2:D26,"Ж")</f>
        <v>0</v>
      </c>
      <c r="C30" s="4">
        <f>COUNTIF('3-тәжірибе'!F2:F26,"Ж")</f>
        <v>0</v>
      </c>
      <c r="D30" s="4">
        <f>COUNTIF('3-тәжірибе'!H2:H26,"Ж")</f>
        <v>0</v>
      </c>
      <c r="E30" s="4">
        <f>SUM(B30:D30)</f>
        <v>0</v>
      </c>
    </row>
    <row r="31" spans="1:5" x14ac:dyDescent="0.35">
      <c r="A31" s="5" t="s">
        <v>157</v>
      </c>
      <c r="B31" s="4">
        <f>COUNTIF('3-тәжірибе'!D2:D26,"Т")</f>
        <v>5</v>
      </c>
      <c r="C31" s="4">
        <f>COUNTIF('3-тәжірибе'!F2:F26,"Т")</f>
        <v>4</v>
      </c>
      <c r="D31" s="4">
        <f>COUNTIF('3-тәжірибе'!H2:H26,"Т")</f>
        <v>3</v>
      </c>
      <c r="E31" s="4">
        <f>SUM(B31:D31)</f>
        <v>12</v>
      </c>
    </row>
  </sheetData>
  <mergeCells count="3">
    <mergeCell ref="B3:E3"/>
    <mergeCell ref="B2:E2"/>
    <mergeCell ref="B4:E4"/>
  </mergeCells>
  <pageMargins left="0.75" right="0.75" top="1" bottom="1" header="0.5" footer="0.5"/>
  <pageSetup paperSize="9" fitToHeight="0" orientation="landscape"/>
  <drawing r:id="rId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Листы</vt:lpstr>
      </vt:variant>
      <vt:variant>
        <vt:i4>5</vt:i4>
      </vt:variant>
    </vt:vector>
  </HeadingPairs>
  <TitlesOfParts>
    <vt:vector size="5" baseType="lpstr">
      <vt:lpstr>Нұсқау</vt:lpstr>
      <vt:lpstr>1-тәжірибе</vt:lpstr>
      <vt:lpstr>2-тәжірибе</vt:lpstr>
      <vt:lpstr>3-тәжірибе</vt:lpstr>
      <vt:lpstr>Қорытынды</vt:lpstr>
    </vt:vector>
  </TitlesOfParts>
  <LinksUpToDate>false</LinksUpToDate>
  <SharedDoc>false</SharedDoc>
  <HyperlinksChanged>false</HyperlinksChanged>
  <AppVersion>14.0300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openpyxl</dc:creator>
  <cp:lastModifiedBy>Tattigul</cp:lastModifiedBy>
  <dcterms:created xsi:type="dcterms:W3CDTF">2026-09-28T04:56:37Z</dcterms:created>
  <dcterms:modified xsi:type="dcterms:W3CDTF">2026-09-28T18:44:12Z</dcterms:modified>
</cp:coreProperties>
</file>