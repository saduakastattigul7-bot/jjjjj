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Нұсқау" sheetId="1" state="visible" r:id="rId1"/>
    <sheet name="1-тәжірибе" sheetId="2" state="visible" r:id="rId2"/>
    <sheet name="2-тәжірибе" sheetId="3" state="visible" r:id="rId3"/>
    <sheet name="3-тәжірибе" sheetId="4" state="visible" r:id="rId4"/>
    <sheet name="Қорытынды"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11"/>
    </font>
    <font>
      <b val="1"/>
    </font>
    <font>
      <i val="1"/>
    </font>
  </fonts>
  <fills count="4">
    <fill>
      <patternFill/>
    </fill>
    <fill>
      <patternFill patternType="gray125"/>
    </fill>
    <fill>
      <patternFill patternType="solid">
        <fgColor rgb="00DCE6F1"/>
      </patternFill>
    </fill>
    <fill>
      <patternFill patternType="solid">
        <fgColor rgb="00FFF2CC"/>
      </patternFill>
    </fill>
  </fills>
  <borders count="5">
    <border>
      <left/>
      <right/>
      <top/>
      <bottom/>
      <diagonal/>
    </border>
    <border>
      <left style="thin">
        <color rgb="00999999"/>
      </left>
      <right style="thin">
        <color rgb="00999999"/>
      </right>
      <top style="thin">
        <color rgb="00999999"/>
      </top>
      <bottom style="thin">
        <color rgb="00999999"/>
      </bottom>
    </border>
    <border>
      <left style="thin">
        <color rgb="00999999"/>
      </left>
      <right/>
      <top/>
      <bottom/>
      <diagonal/>
    </border>
    <border>
      <left style="thin">
        <color rgb="00999999"/>
      </left>
      <right style="thin">
        <color rgb="00999999"/>
      </right>
      <top/>
      <bottom/>
      <diagonal/>
    </border>
    <border>
      <left style="thin">
        <color rgb="00999999"/>
      </left>
      <right style="thin">
        <color rgb="00999999"/>
      </right>
      <top/>
      <bottom style="thin">
        <color rgb="00999999"/>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wrapText="1"/>
    </xf>
    <xf numFmtId="0" fontId="4" fillId="0" borderId="0" pivotButton="0" quotePrefix="0" xfId="0"/>
    <xf numFmtId="0" fontId="0" fillId="0" borderId="3" pivotButton="0" quotePrefix="0" xfId="0"/>
    <xf numFmtId="0" fontId="0" fillId="0" borderId="4" pivotButton="0" quotePrefix="0" xfId="0"/>
    <xf numFmtId="0" fontId="3" fillId="0"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1-тәжірибе: топтар бойынша сапа көрсеткіші, %</a:t>
            </a:r>
          </a:p>
        </rich>
      </tx>
    </title>
    <plotArea>
      <barChart>
        <barDir val="col"/>
        <grouping val="clustered"/>
        <ser>
          <idx val="0"/>
          <order val="0"/>
          <tx>
            <strRef>
              <f>'Қорытынды'!B7</f>
            </strRef>
          </tx>
          <spPr>
            <a:ln>
              <a:prstDash val="solid"/>
            </a:ln>
          </spPr>
          <cat>
            <numRef>
              <f>'Қорытынды'!$A$8:$A$10</f>
            </numRef>
          </cat>
          <val>
            <numRef>
              <f>'Қорытынды'!$B$8:$B$10</f>
            </numRef>
          </val>
        </ser>
        <ser>
          <idx val="1"/>
          <order val="1"/>
          <tx>
            <strRef>
              <f>'Қорытынды'!C7</f>
            </strRef>
          </tx>
          <spPr>
            <a:ln>
              <a:prstDash val="solid"/>
            </a:ln>
          </spPr>
          <cat>
            <numRef>
              <f>'Қорытынды'!$A$8:$A$10</f>
            </numRef>
          </cat>
          <val>
            <numRef>
              <f>'Қорытынды'!$C$8:$C$10</f>
            </numRef>
          </val>
        </ser>
        <ser>
          <idx val="2"/>
          <order val="2"/>
          <tx>
            <strRef>
              <f>'Қорытынды'!D7</f>
            </strRef>
          </tx>
          <spPr>
            <a:ln>
              <a:prstDash val="solid"/>
            </a:ln>
          </spPr>
          <cat>
            <numRef>
              <f>'Қорытынды'!$A$8:$A$10</f>
            </numRef>
          </cat>
          <val>
            <numRef>
              <f>'Қорытынды'!$D$8:$D$10</f>
            </numRef>
          </val>
        </ser>
        <gapWidth val="150"/>
        <axId val="10"/>
        <axId val="100"/>
      </barChart>
      <catAx>
        <axId val="10"/>
        <scaling>
          <orientation val="minMax"/>
        </scaling>
        <axPos val="l"/>
        <majorTickMark val="none"/>
        <minorTickMark val="none"/>
        <crossAx val="100"/>
        <lblOffset val="100"/>
      </catAx>
      <valAx>
        <axId val="100"/>
        <scaling>
          <orientation val="minMax"/>
          <max val="100"/>
          <min val="0"/>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Қате түрлері</a:t>
            </a:r>
          </a:p>
        </rich>
      </tx>
    </title>
    <plotArea>
      <barChart>
        <barDir val="bar"/>
        <grouping val="stacked"/>
        <ser>
          <idx val="0"/>
          <order val="0"/>
          <tx>
            <strRef>
              <f>'Қорытынды'!B14</f>
            </strRef>
          </tx>
          <spPr>
            <a:ln>
              <a:prstDash val="solid"/>
            </a:ln>
          </spPr>
          <cat>
            <numRef>
              <f>'Қорытынды'!$A$15:$A$18</f>
            </numRef>
          </cat>
          <val>
            <numRef>
              <f>'Қорытынды'!$B$15:$B$18</f>
            </numRef>
          </val>
        </ser>
        <ser>
          <idx val="1"/>
          <order val="1"/>
          <tx>
            <strRef>
              <f>'Қорытынды'!C14</f>
            </strRef>
          </tx>
          <spPr>
            <a:ln>
              <a:prstDash val="solid"/>
            </a:ln>
          </spPr>
          <cat>
            <numRef>
              <f>'Қорытынды'!$A$15:$A$18</f>
            </numRef>
          </cat>
          <val>
            <numRef>
              <f>'Қорытынды'!$C$15:$C$18</f>
            </numRef>
          </val>
        </ser>
        <ser>
          <idx val="2"/>
          <order val="2"/>
          <tx>
            <strRef>
              <f>'Қорытынды'!D14</f>
            </strRef>
          </tx>
          <spPr>
            <a:ln>
              <a:prstDash val="solid"/>
            </a:ln>
          </spPr>
          <cat>
            <numRef>
              <f>'Қорытынды'!$A$15:$A$18</f>
            </numRef>
          </cat>
          <val>
            <numRef>
              <f>'Қорытынды'!$D$15:$D$18</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3-тәжірибе: ЖИ атаған тіркестер</a:t>
            </a:r>
          </a:p>
        </rich>
      </tx>
    </title>
    <plotArea>
      <barChart>
        <barDir val="col"/>
        <grouping val="percentStacked"/>
        <ser>
          <idx val="0"/>
          <order val="0"/>
          <tx>
            <v>Н – Нақты тіркес, мағынасы дұрыс</v>
          </tx>
          <spPr>
            <a:ln>
              <a:prstDash val="solid"/>
            </a:ln>
          </spPr>
          <cat>
            <numRef>
              <f>'Қорытынды'!$B$27:$D$27</f>
            </numRef>
          </cat>
          <val>
            <numRef>
              <f>'Қорытынды'!$B$28:$D$28</f>
            </numRef>
          </val>
        </ser>
        <ser>
          <idx val="1"/>
          <order val="1"/>
          <tx>
            <v>М – Нақты тіркес, мағынасы басқа</v>
          </tx>
          <spPr>
            <a:ln>
              <a:prstDash val="solid"/>
            </a:ln>
          </spPr>
          <cat>
            <numRef>
              <f>'Қорытынды'!$B$27:$D$27</f>
            </numRef>
          </cat>
          <val>
            <numRef>
              <f>'Қорытынды'!$B$29:$D$29</f>
            </numRef>
          </val>
        </ser>
        <ser>
          <idx val="2"/>
          <order val="2"/>
          <tx>
            <v>Ж – Жоқ тіркес</v>
          </tx>
          <spPr>
            <a:ln>
              <a:prstDash val="solid"/>
            </a:ln>
          </spPr>
          <cat>
            <numRef>
              <f>'Қорытынды'!$B$27:$D$27</f>
            </numRef>
          </cat>
          <val>
            <numRef>
              <f>'Қорытынды'!$B$30:$D$30</f>
            </numRef>
          </val>
        </ser>
        <ser>
          <idx val="3"/>
          <order val="3"/>
          <tx>
            <v>Т – Тұрақты тіркес емес</v>
          </tx>
          <spPr>
            <a:ln>
              <a:prstDash val="solid"/>
            </a:ln>
          </spPr>
          <cat>
            <numRef>
              <f>'Қорытынды'!$B$27:$D$27</f>
            </numRef>
          </cat>
          <val>
            <numRef>
              <f>'Қорытынды'!$B$31:$D$31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5</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23</row>
      <rowOff>0</rowOff>
    </from>
    <ext cx="6480000" cy="2880000"/>
    <graphicFrame>
      <nvGraphicFramePr>
        <cNvPr id="2" name="Chart 2"/>
        <cNvGraphicFramePr/>
      </nvGraphicFramePr>
      <xfrm/>
      <a:graphic>
        <a:graphicData uri="http://schemas.openxmlformats.org/drawingml/2006/chart">
          <c:chart r:id="rId2"/>
        </a:graphicData>
      </a:graphic>
    </graphicFrame>
    <clientData/>
  </oneCellAnchor>
  <oneCellAnchor>
    <from>
      <col>6</col>
      <colOff>0</colOff>
      <row>41</row>
      <rowOff>0</rowOff>
    </from>
    <ext cx="6480000" cy="288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A31"/>
  <sheetViews>
    <sheetView workbookViewId="0">
      <selection activeCell="A1" sqref="A1"/>
    </sheetView>
  </sheetViews>
  <sheetFormatPr baseColWidth="8" defaultRowHeight="15"/>
  <cols>
    <col width="110" customWidth="1" min="1" max="1"/>
  </cols>
  <sheetData>
    <row r="1">
      <c r="A1" s="1" t="inlineStr">
        <is>
          <t>ТӘЖІРИБЕ КЕСТЕСІН ТОЛТЫРУ НҰСҚАУЫ</t>
        </is>
      </c>
    </row>
    <row r="2">
      <c r="A2" s="2" t="inlineStr">
        <is>
          <t>Сары ұяшықтарды ғана толтырыңыз. Қалған ұяшықтар мен «Қорытынды» парағы өздігінен есептеледі.</t>
        </is>
      </c>
    </row>
    <row r="3">
      <c r="A3" s="2" t="inlineStr"/>
    </row>
    <row r="4">
      <c r="A4" s="2" t="inlineStr">
        <is>
          <t>1. Үш ЖИ құралын таңдаңыз да, «Қорытынды» парағының жоғарғы жағына атауы мен нұсқасын жазыңыз (ЖИ-1, ЖИ-2, ЖИ-3).</t>
        </is>
      </c>
    </row>
    <row r="5">
      <c r="A5" s="2" t="inlineStr">
        <is>
          <t>2. Әр сұраныстың алдында жаңа чат ашыңыз (алдыңғы сұрақ жауапқа әсер етпеуі үшін). Сұранысты өзгертпей көшіріп қойыңыз.</t>
        </is>
      </c>
    </row>
    <row r="6">
      <c r="A6" s="2" t="inlineStr">
        <is>
          <t>3. ЖИ жауабын қысқартып (1–2 сөйлем) «жауабы» бағанына жазыңыз, толық жауаптың скриншотын сақтаңыз (файл атауы: ЖИ1_Т01.png).</t>
        </is>
      </c>
    </row>
    <row r="7">
      <c r="A7" s="2" t="inlineStr">
        <is>
          <t>4. Жауапты сөздік мағынасымен салыстырып, балл қойыңыз: 2 – дұрыс, 1 – жартылай дұрыс, 0 – қате.</t>
        </is>
      </c>
    </row>
    <row r="8">
      <c r="A8" s="2" t="inlineStr">
        <is>
          <t>5. Балл 0 немесе 1 болса, қате түрін белгілеңіз: С – сөзбе-сөз, Б – басқа мағына, О – ойдан шығару, Ж – жалпылама.</t>
        </is>
      </c>
    </row>
    <row r="9">
      <c r="A9" s="2" t="inlineStr">
        <is>
          <t>6. 3-тәжірибеде ЖИ атаған әр тіркесті Кеңесбаев сөздігінен және жұмыстың А қосымшасынан іздеңіз, код қойыңыз: Н, М, Ж, Т.</t>
        </is>
      </c>
    </row>
    <row r="10">
      <c r="A10" s="2" t="inlineStr">
        <is>
          <t>7. Күмәнді жауапты ғылыми жетекшімен бірге қайта тексеріп, шешімді зерттеу күнделігіне жазыңыз.</t>
        </is>
      </c>
    </row>
    <row r="11">
      <c r="A11" s="2" t="inlineStr">
        <is>
          <t>8. Сұраныстарға есіміңізді, мектебіңізді және басқа жеке деректерді жазбаңыз.</t>
        </is>
      </c>
    </row>
    <row r="12">
      <c r="A12" s="2" t="inlineStr"/>
    </row>
    <row r="13">
      <c r="A13" s="1" t="inlineStr">
        <is>
          <t>Сұраныс үлгілері:</t>
        </is>
      </c>
    </row>
    <row r="14">
      <c r="A14" s="2" t="inlineStr">
        <is>
          <t>1-тәжірибе: «…» деген тұрақты тіркестің мағынасы қандай? Қысқаша түсіндіріп, бір мысал сөйлем келтір.</t>
        </is>
      </c>
    </row>
    <row r="15">
      <c r="A15" s="2" t="inlineStr">
        <is>
          <t>2-тәжірибе: «…» деген тұрақты тіркеске мағынасы қарама-қарсы / жақын қазақша тұрақты тіркес ата.</t>
        </is>
      </c>
    </row>
    <row r="16">
      <c r="A16" s="2" t="inlineStr">
        <is>
          <t>3-тәжірибе: «…» мағынасын беретін қазақ тіліндегі 5 тұрақты тіркес (фразеологизм) жаз.</t>
        </is>
      </c>
    </row>
    <row r="17">
      <c r="A17" s="2" t="inlineStr"/>
    </row>
    <row r="18">
      <c r="A18" s="1" t="inlineStr">
        <is>
          <t>Бағалау шкаласы:</t>
        </is>
      </c>
    </row>
    <row r="19">
      <c r="A19" s="2" t="inlineStr">
        <is>
          <t>2 – Дұрыс: Мағынасы сөздікпен сәйкес келеді, мысал сөйлем орынды</t>
        </is>
      </c>
    </row>
    <row r="20">
      <c r="A20" s="2" t="inlineStr">
        <is>
          <t>1 – Жартылай дұрыс: Мағынасына жақын, бірақ дәл емес, тым жалпы немесе артық мағына қосылған</t>
        </is>
      </c>
    </row>
    <row r="21">
      <c r="A21" s="2" t="inlineStr">
        <is>
          <t>0 – Қате: Мағынасы сөздікке сәйкес келмейді</t>
        </is>
      </c>
    </row>
    <row r="22">
      <c r="A22" s="1" t="inlineStr">
        <is>
          <t>Қате түрлері:</t>
        </is>
      </c>
    </row>
    <row r="23">
      <c r="A23" s="2" t="inlineStr">
        <is>
          <t>С – Сөзбе-сөз түсіндіру: Тіркесті құрамындағы сөздердің тура мағынасымен түсіндіреді</t>
        </is>
      </c>
    </row>
    <row r="24">
      <c r="A24" s="2" t="inlineStr">
        <is>
          <t>Б – Басқа мағына беру: Бейнелі мағына береді, бірақ ол сөздіктегі мағына емес</t>
        </is>
      </c>
    </row>
    <row r="25">
      <c r="A25" s="2" t="inlineStr">
        <is>
          <t>О – Ойдан шығару: Жоқ тарихты, жоқ тіркесті немесе жоқ дереккөзді «жасап» шығарады</t>
        </is>
      </c>
    </row>
    <row r="26">
      <c r="A26" s="2" t="inlineStr">
        <is>
          <t>Ж – Жалпылама жауап: Мағынаның бір бөлігін ғана береді немесе нақты айтпайды</t>
        </is>
      </c>
    </row>
    <row r="27">
      <c r="A27" s="1" t="inlineStr">
        <is>
          <t>3-тәжірибе кодтары:</t>
        </is>
      </c>
    </row>
    <row r="28">
      <c r="A28" s="2" t="inlineStr">
        <is>
          <t>Н – Нақты тіркес, мағынасы дұрыс: Сөздікте бар, сұралған мағыналық топқа сәйкес</t>
        </is>
      </c>
    </row>
    <row r="29">
      <c r="A29" s="2" t="inlineStr">
        <is>
          <t>М – Нақты тіркес, мағынасы басқа: Сөздікте бар, бірақ сұралған мағынаға сәйкес емес</t>
        </is>
      </c>
    </row>
    <row r="30">
      <c r="A30" s="2" t="inlineStr">
        <is>
          <t>Ж – Жоқ тіркес: Сөздіктерде кездеспейді, ЖИ өзі құрастырған немесе орыс/ағылшын тілінен аударған</t>
        </is>
      </c>
    </row>
    <row r="31">
      <c r="A31" s="2" t="inlineStr">
        <is>
          <t>Т – Тұрақты тіркес емес: Жай сөз немесе еркін сөз тіркесі (мысалы, «өте жылдам»)</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M3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28" customWidth="1" min="3" max="3"/>
    <col width="26" customWidth="1" min="4" max="4"/>
    <col width="34" customWidth="1" min="5" max="5"/>
    <col width="8" customWidth="1" min="6" max="6"/>
    <col width="8" customWidth="1" min="7" max="7"/>
    <col width="34" customWidth="1" min="8" max="8"/>
    <col width="8" customWidth="1" min="9" max="9"/>
    <col width="8" customWidth="1" min="10" max="10"/>
    <col width="34" customWidth="1" min="11" max="11"/>
    <col width="8" customWidth="1" min="12" max="12"/>
    <col width="8" customWidth="1" min="13" max="13"/>
  </cols>
  <sheetData>
    <row r="1">
      <c r="A1" s="3" t="inlineStr">
        <is>
          <t>№</t>
        </is>
      </c>
      <c r="B1" s="3" t="inlineStr">
        <is>
          <t>Топ</t>
        </is>
      </c>
      <c r="C1" s="3" t="inlineStr">
        <is>
          <t>Тіркес</t>
        </is>
      </c>
      <c r="D1" s="3" t="inlineStr">
        <is>
          <t>Сөздіктегі мағынасы</t>
        </is>
      </c>
      <c r="E1" s="3" t="inlineStr">
        <is>
          <t>ЖИ-1 жауабы (қысқаша)</t>
        </is>
      </c>
      <c r="F1" s="3" t="inlineStr">
        <is>
          <t>ЖИ-1 балл</t>
        </is>
      </c>
      <c r="G1" s="3" t="inlineStr">
        <is>
          <t>ЖИ-1 қате түрі</t>
        </is>
      </c>
      <c r="H1" s="3" t="inlineStr">
        <is>
          <t>ЖИ-2 жауабы (қысқаша)</t>
        </is>
      </c>
      <c r="I1" s="3" t="inlineStr">
        <is>
          <t>ЖИ-2 балл</t>
        </is>
      </c>
      <c r="J1" s="3" t="inlineStr">
        <is>
          <t>ЖИ-2 қате түрі</t>
        </is>
      </c>
      <c r="K1" s="3" t="inlineStr">
        <is>
          <t>ЖИ-3 жауабы (қысқаша)</t>
        </is>
      </c>
      <c r="L1" s="3" t="inlineStr">
        <is>
          <t>ЖИ-3 балл</t>
        </is>
      </c>
      <c r="M1" s="3" t="inlineStr">
        <is>
          <t>ЖИ-3 қате түрі</t>
        </is>
      </c>
    </row>
    <row r="2" ht="45" customHeight="1">
      <c r="A2" s="4" t="n">
        <v>1</v>
      </c>
      <c r="B2" s="4" t="inlineStr">
        <is>
          <t>А</t>
        </is>
      </c>
      <c r="C2" s="5" t="inlineStr">
        <is>
          <t>Екі езуі екі құлағына жету</t>
        </is>
      </c>
      <c r="D2" s="5" t="inlineStr">
        <is>
          <t>қатты қуану</t>
        </is>
      </c>
      <c r="E2" s="6" t="n"/>
      <c r="F2" s="7" t="n"/>
      <c r="G2" s="7" t="n"/>
      <c r="H2" s="6" t="n"/>
      <c r="I2" s="7" t="n"/>
      <c r="J2" s="7" t="n"/>
      <c r="K2" s="6" t="n"/>
      <c r="L2" s="7" t="n"/>
      <c r="M2" s="7" t="n"/>
    </row>
    <row r="3" ht="45" customHeight="1">
      <c r="A3" s="4" t="n">
        <v>2</v>
      </c>
      <c r="B3" s="4" t="inlineStr">
        <is>
          <t>А</t>
        </is>
      </c>
      <c r="C3" s="5" t="inlineStr">
        <is>
          <t>Бармағын тістеді</t>
        </is>
      </c>
      <c r="D3" s="5" t="inlineStr">
        <is>
          <t>өкінді</t>
        </is>
      </c>
      <c r="E3" s="6" t="n"/>
      <c r="F3" s="7" t="n"/>
      <c r="G3" s="7" t="n"/>
      <c r="H3" s="6" t="n"/>
      <c r="I3" s="7" t="n"/>
      <c r="J3" s="7" t="n"/>
      <c r="K3" s="6" t="n"/>
      <c r="L3" s="7" t="n"/>
      <c r="M3" s="7" t="n"/>
    </row>
    <row r="4" ht="45" customHeight="1">
      <c r="A4" s="4" t="n">
        <v>3</v>
      </c>
      <c r="B4" s="4" t="inlineStr">
        <is>
          <t>А</t>
        </is>
      </c>
      <c r="C4" s="5" t="inlineStr">
        <is>
          <t>Көзді ашып-жұмғанша</t>
        </is>
      </c>
      <c r="D4" s="5" t="inlineStr">
        <is>
          <t>өте тез</t>
        </is>
      </c>
      <c r="E4" s="6" t="n"/>
      <c r="F4" s="7" t="n"/>
      <c r="G4" s="7" t="n"/>
      <c r="H4" s="6" t="n"/>
      <c r="I4" s="7" t="n"/>
      <c r="J4" s="7" t="n"/>
      <c r="K4" s="6" t="n"/>
      <c r="L4" s="7" t="n"/>
      <c r="M4" s="7" t="n"/>
    </row>
    <row r="5" ht="45" customHeight="1">
      <c r="A5" s="4" t="n">
        <v>4</v>
      </c>
      <c r="B5" s="4" t="inlineStr">
        <is>
          <t>А</t>
        </is>
      </c>
      <c r="C5" s="5" t="inlineStr">
        <is>
          <t>Жұмған аузын ашпау</t>
        </is>
      </c>
      <c r="D5" s="5" t="inlineStr">
        <is>
          <t>үндемеу, сөйлемеу</t>
        </is>
      </c>
      <c r="E5" s="6" t="n"/>
      <c r="F5" s="7" t="n"/>
      <c r="G5" s="7" t="n"/>
      <c r="H5" s="6" t="n"/>
      <c r="I5" s="7" t="n"/>
      <c r="J5" s="7" t="n"/>
      <c r="K5" s="6" t="n"/>
      <c r="L5" s="7" t="n"/>
      <c r="M5" s="7" t="n"/>
    </row>
    <row r="6" ht="45" customHeight="1">
      <c r="A6" s="4" t="n">
        <v>5</v>
      </c>
      <c r="B6" s="4" t="inlineStr">
        <is>
          <t>А</t>
        </is>
      </c>
      <c r="C6" s="5" t="inlineStr">
        <is>
          <t>Құлағын түру</t>
        </is>
      </c>
      <c r="D6" s="5" t="inlineStr">
        <is>
          <t>мұқият тыңдау, назар салу</t>
        </is>
      </c>
      <c r="E6" s="6" t="n"/>
      <c r="F6" s="7" t="n"/>
      <c r="G6" s="7" t="n"/>
      <c r="H6" s="6" t="n"/>
      <c r="I6" s="7" t="n"/>
      <c r="J6" s="7" t="n"/>
      <c r="K6" s="6" t="n"/>
      <c r="L6" s="7" t="n"/>
      <c r="M6" s="7" t="n"/>
    </row>
    <row r="7" ht="45" customHeight="1">
      <c r="A7" s="4" t="n">
        <v>6</v>
      </c>
      <c r="B7" s="4" t="inlineStr">
        <is>
          <t>А</t>
        </is>
      </c>
      <c r="C7" s="5" t="inlineStr">
        <is>
          <t>Кірпік қақпау</t>
        </is>
      </c>
      <c r="D7" s="5" t="inlineStr">
        <is>
          <t>ұйықтамау</t>
        </is>
      </c>
      <c r="E7" s="6" t="n"/>
      <c r="F7" s="7" t="n"/>
      <c r="G7" s="7" t="n"/>
      <c r="H7" s="6" t="n"/>
      <c r="I7" s="7" t="n"/>
      <c r="J7" s="7" t="n"/>
      <c r="K7" s="6" t="n"/>
      <c r="L7" s="7" t="n"/>
      <c r="M7" s="7" t="n"/>
    </row>
    <row r="8" ht="45" customHeight="1">
      <c r="A8" s="4" t="n">
        <v>7</v>
      </c>
      <c r="B8" s="4" t="inlineStr">
        <is>
          <t>А</t>
        </is>
      </c>
      <c r="C8" s="5" t="inlineStr">
        <is>
          <t>Жүрегі аузына тығылды</t>
        </is>
      </c>
      <c r="D8" s="5" t="inlineStr">
        <is>
          <t>қатты толқыды, қорықты</t>
        </is>
      </c>
      <c r="E8" s="6" t="n"/>
      <c r="F8" s="7" t="n"/>
      <c r="G8" s="7" t="n"/>
      <c r="H8" s="6" t="n"/>
      <c r="I8" s="7" t="n"/>
      <c r="J8" s="7" t="n"/>
      <c r="K8" s="6" t="n"/>
      <c r="L8" s="7" t="n"/>
      <c r="M8" s="7" t="n"/>
    </row>
    <row r="9" ht="45" customHeight="1">
      <c r="A9" s="4" t="n">
        <v>8</v>
      </c>
      <c r="B9" s="4" t="inlineStr">
        <is>
          <t>А</t>
        </is>
      </c>
      <c r="C9" s="5" t="inlineStr">
        <is>
          <t>Бас изеді</t>
        </is>
      </c>
      <c r="D9" s="5" t="inlineStr">
        <is>
          <t>келісті</t>
        </is>
      </c>
      <c r="E9" s="6" t="n"/>
      <c r="F9" s="7" t="n"/>
      <c r="G9" s="7" t="n"/>
      <c r="H9" s="6" t="n"/>
      <c r="I9" s="7" t="n"/>
      <c r="J9" s="7" t="n"/>
      <c r="K9" s="6" t="n"/>
      <c r="L9" s="7" t="n"/>
      <c r="M9" s="7" t="n"/>
    </row>
    <row r="10" ht="45" customHeight="1">
      <c r="A10" s="4" t="n">
        <v>9</v>
      </c>
      <c r="B10" s="4" t="inlineStr">
        <is>
          <t>А</t>
        </is>
      </c>
      <c r="C10" s="5" t="inlineStr">
        <is>
          <t>Қолы ашық</t>
        </is>
      </c>
      <c r="D10" s="5" t="inlineStr">
        <is>
          <t>жомарт</t>
        </is>
      </c>
      <c r="E10" s="6" t="n"/>
      <c r="F10" s="7" t="n"/>
      <c r="G10" s="7" t="n"/>
      <c r="H10" s="6" t="n"/>
      <c r="I10" s="7" t="n"/>
      <c r="J10" s="7" t="n"/>
      <c r="K10" s="6" t="n"/>
      <c r="L10" s="7" t="n"/>
      <c r="M10" s="7" t="n"/>
    </row>
    <row r="11" ht="45" customHeight="1">
      <c r="A11" s="4" t="n">
        <v>10</v>
      </c>
      <c r="B11" s="4" t="inlineStr">
        <is>
          <t>А</t>
        </is>
      </c>
      <c r="C11" s="5" t="inlineStr">
        <is>
          <t>Бетінен оты шықты</t>
        </is>
      </c>
      <c r="D11" s="5" t="inlineStr">
        <is>
          <t>қатты ұялды</t>
        </is>
      </c>
      <c r="E11" s="6" t="n"/>
      <c r="F11" s="7" t="n"/>
      <c r="G11" s="7" t="n"/>
      <c r="H11" s="6" t="n"/>
      <c r="I11" s="7" t="n"/>
      <c r="J11" s="7" t="n"/>
      <c r="K11" s="6" t="n"/>
      <c r="L11" s="7" t="n"/>
      <c r="M11" s="7" t="n"/>
    </row>
    <row r="12" ht="45" customHeight="1">
      <c r="A12" s="4" t="n">
        <v>11</v>
      </c>
      <c r="B12" s="4" t="inlineStr">
        <is>
          <t>Ә</t>
        </is>
      </c>
      <c r="C12" s="5" t="inlineStr">
        <is>
          <t>Арасынан қыл өтпейді</t>
        </is>
      </c>
      <c r="D12" s="5" t="inlineStr">
        <is>
          <t>өте тату</t>
        </is>
      </c>
      <c r="E12" s="6" t="n"/>
      <c r="F12" s="7" t="n"/>
      <c r="G12" s="7" t="n"/>
      <c r="H12" s="6" t="n"/>
      <c r="I12" s="7" t="n"/>
      <c r="J12" s="7" t="n"/>
      <c r="K12" s="6" t="n"/>
      <c r="L12" s="7" t="n"/>
      <c r="M12" s="7" t="n"/>
    </row>
    <row r="13" ht="45" customHeight="1">
      <c r="A13" s="4" t="n">
        <v>12</v>
      </c>
      <c r="B13" s="4" t="inlineStr">
        <is>
          <t>Ә</t>
        </is>
      </c>
      <c r="C13" s="5" t="inlineStr">
        <is>
          <t>Қой аузынан шөп алмас</t>
        </is>
      </c>
      <c r="D13" s="5" t="inlineStr">
        <is>
          <t>момын, жуас</t>
        </is>
      </c>
      <c r="E13" s="6" t="n"/>
      <c r="F13" s="7" t="n"/>
      <c r="G13" s="7" t="n"/>
      <c r="H13" s="6" t="n"/>
      <c r="I13" s="7" t="n"/>
      <c r="J13" s="7" t="n"/>
      <c r="K13" s="6" t="n"/>
      <c r="L13" s="7" t="n"/>
      <c r="M13" s="7" t="n"/>
    </row>
    <row r="14" ht="45" customHeight="1">
      <c r="A14" s="4" t="n">
        <v>13</v>
      </c>
      <c r="B14" s="4" t="inlineStr">
        <is>
          <t>Ә</t>
        </is>
      </c>
      <c r="C14" s="5" t="inlineStr">
        <is>
          <t>Ине шаншар жер жоқ</t>
        </is>
      </c>
      <c r="D14" s="5" t="inlineStr">
        <is>
          <t>лық толы, бос орын жоқ</t>
        </is>
      </c>
      <c r="E14" s="6" t="n"/>
      <c r="F14" s="7" t="n"/>
      <c r="G14" s="7" t="n"/>
      <c r="H14" s="6" t="n"/>
      <c r="I14" s="7" t="n"/>
      <c r="J14" s="7" t="n"/>
      <c r="K14" s="6" t="n"/>
      <c r="L14" s="7" t="n"/>
      <c r="M14" s="7" t="n"/>
    </row>
    <row r="15" ht="45" customHeight="1">
      <c r="A15" s="4" t="n">
        <v>14</v>
      </c>
      <c r="B15" s="4" t="inlineStr">
        <is>
          <t>Ә</t>
        </is>
      </c>
      <c r="C15" s="5" t="inlineStr">
        <is>
          <t>Инемен құдық қазғандай</t>
        </is>
      </c>
      <c r="D15" s="5" t="inlineStr">
        <is>
          <t>өте қиын, ауыр, ұзақ іс</t>
        </is>
      </c>
      <c r="E15" s="6" t="n"/>
      <c r="F15" s="7" t="n"/>
      <c r="G15" s="7" t="n"/>
      <c r="H15" s="6" t="n"/>
      <c r="I15" s="7" t="n"/>
      <c r="J15" s="7" t="n"/>
      <c r="K15" s="6" t="n"/>
      <c r="L15" s="7" t="n"/>
      <c r="M15" s="7" t="n"/>
    </row>
    <row r="16" ht="45" customHeight="1">
      <c r="A16" s="4" t="n">
        <v>15</v>
      </c>
      <c r="B16" s="4" t="inlineStr">
        <is>
          <t>Ә</t>
        </is>
      </c>
      <c r="C16" s="5" t="inlineStr">
        <is>
          <t>Кірерге тесік таппау</t>
        </is>
      </c>
      <c r="D16" s="5" t="inlineStr">
        <is>
          <t>қатты ұялу</t>
        </is>
      </c>
      <c r="E16" s="6" t="n"/>
      <c r="F16" s="7" t="n"/>
      <c r="G16" s="7" t="n"/>
      <c r="H16" s="6" t="n"/>
      <c r="I16" s="7" t="n"/>
      <c r="J16" s="7" t="n"/>
      <c r="K16" s="6" t="n"/>
      <c r="L16" s="7" t="n"/>
      <c r="M16" s="7" t="n"/>
    </row>
    <row r="17" ht="45" customHeight="1">
      <c r="A17" s="4" t="n">
        <v>16</v>
      </c>
      <c r="B17" s="4" t="inlineStr">
        <is>
          <t>Ә</t>
        </is>
      </c>
      <c r="C17" s="5" t="inlineStr">
        <is>
          <t>Алақанның аясындай</t>
        </is>
      </c>
      <c r="D17" s="5" t="inlineStr">
        <is>
          <t>тар, кішкентай жер</t>
        </is>
      </c>
      <c r="E17" s="6" t="n"/>
      <c r="F17" s="7" t="n"/>
      <c r="G17" s="7" t="n"/>
      <c r="H17" s="6" t="n"/>
      <c r="I17" s="7" t="n"/>
      <c r="J17" s="7" t="n"/>
      <c r="K17" s="6" t="n"/>
      <c r="L17" s="7" t="n"/>
      <c r="M17" s="7" t="n"/>
    </row>
    <row r="18" ht="45" customHeight="1">
      <c r="A18" s="4" t="n">
        <v>17</v>
      </c>
      <c r="B18" s="4" t="inlineStr">
        <is>
          <t>Ә</t>
        </is>
      </c>
      <c r="C18" s="5" t="inlineStr">
        <is>
          <t>Құлаққа ұрған танадай</t>
        </is>
      </c>
      <c r="D18" s="5" t="inlineStr">
        <is>
          <t>тып-тыныш</t>
        </is>
      </c>
      <c r="E18" s="6" t="n"/>
      <c r="F18" s="7" t="n"/>
      <c r="G18" s="7" t="n"/>
      <c r="H18" s="6" t="n"/>
      <c r="I18" s="7" t="n"/>
      <c r="J18" s="7" t="n"/>
      <c r="K18" s="6" t="n"/>
      <c r="L18" s="7" t="n"/>
      <c r="M18" s="7" t="n"/>
    </row>
    <row r="19" ht="45" customHeight="1">
      <c r="A19" s="4" t="n">
        <v>18</v>
      </c>
      <c r="B19" s="4" t="inlineStr">
        <is>
          <t>Ә</t>
        </is>
      </c>
      <c r="C19" s="5" t="inlineStr">
        <is>
          <t>Аузын буған өгіздей</t>
        </is>
      </c>
      <c r="D19" s="5" t="inlineStr">
        <is>
          <t>үндемейтін адам</t>
        </is>
      </c>
      <c r="E19" s="6" t="n"/>
      <c r="F19" s="7" t="n"/>
      <c r="G19" s="7" t="n"/>
      <c r="H19" s="6" t="n"/>
      <c r="I19" s="7" t="n"/>
      <c r="J19" s="7" t="n"/>
      <c r="K19" s="6" t="n"/>
      <c r="L19" s="7" t="n"/>
      <c r="M19" s="7" t="n"/>
    </row>
    <row r="20" ht="45" customHeight="1">
      <c r="A20" s="4" t="n">
        <v>19</v>
      </c>
      <c r="B20" s="4" t="inlineStr">
        <is>
          <t>Ә</t>
        </is>
      </c>
      <c r="C20" s="5" t="inlineStr">
        <is>
          <t>Жүрегінің түгі бар</t>
        </is>
      </c>
      <c r="D20" s="5" t="inlineStr">
        <is>
          <t>батыр, қорықпайтын</t>
        </is>
      </c>
      <c r="E20" s="6" t="n"/>
      <c r="F20" s="7" t="n"/>
      <c r="G20" s="7" t="n"/>
      <c r="H20" s="6" t="n"/>
      <c r="I20" s="7" t="n"/>
      <c r="J20" s="7" t="n"/>
      <c r="K20" s="6" t="n"/>
      <c r="L20" s="7" t="n"/>
      <c r="M20" s="7" t="n"/>
    </row>
    <row r="21" ht="45" customHeight="1">
      <c r="A21" s="4" t="n">
        <v>20</v>
      </c>
      <c r="B21" s="4" t="inlineStr">
        <is>
          <t>Ә</t>
        </is>
      </c>
      <c r="C21" s="5" t="inlineStr">
        <is>
          <t>Жұмыртқадан жүн қырыққан</t>
        </is>
      </c>
      <c r="D21" s="5" t="inlineStr">
        <is>
          <t>қу, айлакер</t>
        </is>
      </c>
      <c r="E21" s="6" t="n"/>
      <c r="F21" s="7" t="n"/>
      <c r="G21" s="7" t="n"/>
      <c r="H21" s="6" t="n"/>
      <c r="I21" s="7" t="n"/>
      <c r="J21" s="7" t="n"/>
      <c r="K21" s="6" t="n"/>
      <c r="L21" s="7" t="n"/>
      <c r="M21" s="7" t="n"/>
    </row>
    <row r="22" ht="45" customHeight="1">
      <c r="A22" s="4" t="n">
        <v>21</v>
      </c>
      <c r="B22" s="4" t="inlineStr">
        <is>
          <t>Б</t>
        </is>
      </c>
      <c r="C22" s="5" t="inlineStr">
        <is>
          <t>Ақ киізге көтерді</t>
        </is>
      </c>
      <c r="D22" s="5" t="inlineStr">
        <is>
          <t>хан сайлады</t>
        </is>
      </c>
      <c r="E22" s="6" t="n"/>
      <c r="F22" s="7" t="n"/>
      <c r="G22" s="7" t="n"/>
      <c r="H22" s="6" t="n"/>
      <c r="I22" s="7" t="n"/>
      <c r="J22" s="7" t="n"/>
      <c r="K22" s="6" t="n"/>
      <c r="L22" s="7" t="n"/>
      <c r="M22" s="7" t="n"/>
    </row>
    <row r="23" ht="45" customHeight="1">
      <c r="A23" s="4" t="n">
        <v>22</v>
      </c>
      <c r="B23" s="4" t="inlineStr">
        <is>
          <t>Б</t>
        </is>
      </c>
      <c r="C23" s="5" t="inlineStr">
        <is>
          <t>Асығы алшысынан түсті</t>
        </is>
      </c>
      <c r="D23" s="5" t="inlineStr">
        <is>
          <t>жолы болды</t>
        </is>
      </c>
      <c r="E23" s="6" t="n"/>
      <c r="F23" s="7" t="n"/>
      <c r="G23" s="7" t="n"/>
      <c r="H23" s="6" t="n"/>
      <c r="I23" s="7" t="n"/>
      <c r="J23" s="7" t="n"/>
      <c r="K23" s="6" t="n"/>
      <c r="L23" s="7" t="n"/>
      <c r="M23" s="7" t="n"/>
    </row>
    <row r="24" ht="45" customHeight="1">
      <c r="A24" s="4" t="n">
        <v>23</v>
      </c>
      <c r="B24" s="4" t="inlineStr">
        <is>
          <t>Б</t>
        </is>
      </c>
      <c r="C24" s="5" t="inlineStr">
        <is>
          <t>Ит басына іркіт төгілу</t>
        </is>
      </c>
      <c r="D24" s="5" t="inlineStr">
        <is>
          <t>молшылық орнау</t>
        </is>
      </c>
      <c r="E24" s="6" t="n"/>
      <c r="F24" s="7" t="n"/>
      <c r="G24" s="7" t="n"/>
      <c r="H24" s="6" t="n"/>
      <c r="I24" s="7" t="n"/>
      <c r="J24" s="7" t="n"/>
      <c r="K24" s="6" t="n"/>
      <c r="L24" s="7" t="n"/>
      <c r="M24" s="7" t="n"/>
    </row>
    <row r="25" ht="45" customHeight="1">
      <c r="A25" s="4" t="n">
        <v>24</v>
      </c>
      <c r="B25" s="4" t="inlineStr">
        <is>
          <t>Б</t>
        </is>
      </c>
      <c r="C25" s="5" t="inlineStr">
        <is>
          <t>Қой үстіне бозторғай жұмыртқалау</t>
        </is>
      </c>
      <c r="D25" s="5" t="inlineStr">
        <is>
          <t>тыныш, бейбіт заман орнау</t>
        </is>
      </c>
      <c r="E25" s="6" t="n"/>
      <c r="F25" s="7" t="n"/>
      <c r="G25" s="7" t="n"/>
      <c r="H25" s="6" t="n"/>
      <c r="I25" s="7" t="n"/>
      <c r="J25" s="7" t="n"/>
      <c r="K25" s="6" t="n"/>
      <c r="L25" s="7" t="n"/>
      <c r="M25" s="7" t="n"/>
    </row>
    <row r="26" ht="45" customHeight="1">
      <c r="A26" s="4" t="n">
        <v>25</v>
      </c>
      <c r="B26" s="4" t="inlineStr">
        <is>
          <t>Б</t>
        </is>
      </c>
      <c r="C26" s="5" t="inlineStr">
        <is>
          <t>Есек құрты мұртына түсу</t>
        </is>
      </c>
      <c r="D26" s="5" t="inlineStr">
        <is>
          <t>баю</t>
        </is>
      </c>
      <c r="E26" s="6" t="n"/>
      <c r="F26" s="7" t="n"/>
      <c r="G26" s="7" t="n"/>
      <c r="H26" s="6" t="n"/>
      <c r="I26" s="7" t="n"/>
      <c r="J26" s="7" t="n"/>
      <c r="K26" s="6" t="n"/>
      <c r="L26" s="7" t="n"/>
      <c r="M26" s="7" t="n"/>
    </row>
    <row r="27" ht="45" customHeight="1">
      <c r="A27" s="4" t="n">
        <v>26</v>
      </c>
      <c r="B27" s="4" t="inlineStr">
        <is>
          <t>Б</t>
        </is>
      </c>
      <c r="C27" s="5" t="inlineStr">
        <is>
          <t>Ит терісін басына қаптау</t>
        </is>
      </c>
      <c r="D27" s="5" t="inlineStr">
        <is>
          <t>қатты ұрысу, балағаттау</t>
        </is>
      </c>
      <c r="E27" s="6" t="n"/>
      <c r="F27" s="7" t="n"/>
      <c r="G27" s="7" t="n"/>
      <c r="H27" s="6" t="n"/>
      <c r="I27" s="7" t="n"/>
      <c r="J27" s="7" t="n"/>
      <c r="K27" s="6" t="n"/>
      <c r="L27" s="7" t="n"/>
      <c r="M27" s="7" t="n"/>
    </row>
    <row r="28" ht="45" customHeight="1">
      <c r="A28" s="4" t="n">
        <v>27</v>
      </c>
      <c r="B28" s="4" t="inlineStr">
        <is>
          <t>Б</t>
        </is>
      </c>
      <c r="C28" s="5" t="inlineStr">
        <is>
          <t>Жер қаптыру</t>
        </is>
      </c>
      <c r="D28" s="5" t="inlineStr">
        <is>
          <t>алдау</t>
        </is>
      </c>
      <c r="E28" s="6" t="n"/>
      <c r="F28" s="7" t="n"/>
      <c r="G28" s="7" t="n"/>
      <c r="H28" s="6" t="n"/>
      <c r="I28" s="7" t="n"/>
      <c r="J28" s="7" t="n"/>
      <c r="K28" s="6" t="n"/>
      <c r="L28" s="7" t="n"/>
      <c r="M28" s="7" t="n"/>
    </row>
    <row r="29" ht="45" customHeight="1">
      <c r="A29" s="4" t="n">
        <v>28</v>
      </c>
      <c r="B29" s="4" t="inlineStr">
        <is>
          <t>Б</t>
        </is>
      </c>
      <c r="C29" s="5" t="inlineStr">
        <is>
          <t>Ит өлген жер</t>
        </is>
      </c>
      <c r="D29" s="5" t="inlineStr">
        <is>
          <t>өте алыс жер</t>
        </is>
      </c>
      <c r="E29" s="6" t="n"/>
      <c r="F29" s="7" t="n"/>
      <c r="G29" s="7" t="n"/>
      <c r="H29" s="6" t="n"/>
      <c r="I29" s="7" t="n"/>
      <c r="J29" s="7" t="n"/>
      <c r="K29" s="6" t="n"/>
      <c r="L29" s="7" t="n"/>
      <c r="M29" s="7" t="n"/>
    </row>
    <row r="30" ht="45" customHeight="1">
      <c r="A30" s="4" t="n">
        <v>29</v>
      </c>
      <c r="B30" s="4" t="inlineStr">
        <is>
          <t>Б</t>
        </is>
      </c>
      <c r="C30" s="5" t="inlineStr">
        <is>
          <t>Айдарынан жел есу</t>
        </is>
      </c>
      <c r="D30" s="5" t="inlineStr">
        <is>
          <t>асқақтап, дәурен сүру</t>
        </is>
      </c>
      <c r="E30" s="6" t="n"/>
      <c r="F30" s="7" t="n"/>
      <c r="G30" s="7" t="n"/>
      <c r="H30" s="6" t="n"/>
      <c r="I30" s="7" t="n"/>
      <c r="J30" s="7" t="n"/>
      <c r="K30" s="6" t="n"/>
      <c r="L30" s="7" t="n"/>
      <c r="M30" s="7" t="n"/>
    </row>
    <row r="31" ht="45" customHeight="1">
      <c r="A31" s="4" t="n">
        <v>30</v>
      </c>
      <c r="B31" s="4" t="inlineStr">
        <is>
          <t>Б</t>
        </is>
      </c>
      <c r="C31" s="5" t="inlineStr">
        <is>
          <t>Қара есекке теріс мінгізу</t>
        </is>
      </c>
      <c r="D31" s="5" t="inlineStr">
        <is>
          <t>масқаралау, ел алдында ұятқа қалдыру</t>
        </is>
      </c>
      <c r="E31" s="6" t="n"/>
      <c r="F31" s="7" t="n"/>
      <c r="G31" s="7" t="n"/>
      <c r="H31" s="6" t="n"/>
      <c r="I31" s="7" t="n"/>
      <c r="J31" s="7" t="n"/>
      <c r="K31" s="6" t="n"/>
      <c r="L31" s="7" t="n"/>
      <c r="M31" s="7" t="n"/>
    </row>
  </sheetData>
  <dataValidations count="2">
    <dataValidation sqref="F2 F3 F4 F5 F6 F7 F8 F9 F10 F11 F12 F13 F14 F15 F16 F17 F18 F19 F20 F21 F22 F23 F24 F25 F26 F27 F28 F29 F30 F31 I2 I3 I4 I5 I6 I7 I8 I9 I10 I11 I12 I13 I14 I15 I16 I17 I18 I19 I20 I21 I22 I23 I24 I25 I26 I27 I28 I29 I30 I31 L2 L3 L4 L5 L6 L7 L8 L9 L10 L11 L12 L13 L14 L15 L16 L17 L18 L19 L20 L21 L22 L23 L24 L25 L26 L27 L28 L29 L30 L31" showDropDown="0" showInputMessage="0" showErrorMessage="0" allowBlank="1" type="list">
      <formula1>"0,1,2"</formula1>
    </dataValidation>
    <dataValidation sqref="G2 G3 G4 G5 G6 G7 G8 G9 G10 G11 G12 G13 G14 G15 G16 G17 G18 G19 G20 G21 G22 G23 G24 G25 G26 G27 G28 G29 G30 G31 J2 J3 J4 J5 J6 J7 J8 J9 J10 J11 J12 J13 J14 J15 J16 J17 J18 J19 J20 J21 J22 J23 J24 J25 J26 J27 J28 J29 J30 J31 M2 M3 M4 M5 M6 M7 M8 M9 M10 M11 M12 M13 M14 M15 M16 M17 M18 M19 M20 M21 M22 M23 M24 M25 M26 M27 M28 M29 M30 M31" showDropDown="0" showInputMessage="0" showErrorMessage="0" allowBlank="1" type="list">
      <formula1>"С,Б,О,Ж"</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M9"/>
  <sheetViews>
    <sheetView workbookViewId="0">
      <selection activeCell="A1" sqref="A1"/>
    </sheetView>
  </sheetViews>
  <sheetFormatPr baseColWidth="8" defaultRowHeight="15"/>
  <cols>
    <col width="5" customWidth="1" min="1" max="1"/>
    <col width="11" customWidth="1" min="2" max="2"/>
    <col width="26" customWidth="1" min="3" max="3"/>
    <col width="30" customWidth="1" min="4" max="4"/>
    <col width="30" customWidth="1" min="5" max="5"/>
    <col width="8" customWidth="1" min="6" max="6"/>
    <col width="8" customWidth="1" min="7" max="7"/>
    <col width="30" customWidth="1" min="8" max="8"/>
    <col width="8" customWidth="1" min="9" max="9"/>
    <col width="8" customWidth="1" min="10" max="10"/>
    <col width="30" customWidth="1" min="11" max="11"/>
    <col width="8" customWidth="1" min="12" max="12"/>
    <col width="8" customWidth="1" min="13" max="13"/>
  </cols>
  <sheetData>
    <row r="1">
      <c r="A1" s="3" t="inlineStr">
        <is>
          <t>№</t>
        </is>
      </c>
      <c r="B1" s="3" t="inlineStr">
        <is>
          <t>Тапсырма</t>
        </is>
      </c>
      <c r="C1" s="3" t="inlineStr">
        <is>
          <t>Берілген тіркес</t>
        </is>
      </c>
      <c r="D1" s="3" t="inlineStr">
        <is>
          <t>Сөздіктегі жауап</t>
        </is>
      </c>
      <c r="E1" s="3" t="inlineStr">
        <is>
          <t>ЖИ-1 атаған тіркес</t>
        </is>
      </c>
      <c r="F1" s="3" t="inlineStr">
        <is>
          <t>ЖИ-1 балл</t>
        </is>
      </c>
      <c r="G1" s="3" t="inlineStr">
        <is>
          <t>ЖИ-1 қате түрі</t>
        </is>
      </c>
      <c r="H1" s="3" t="inlineStr">
        <is>
          <t>ЖИ-2 атаған тіркес</t>
        </is>
      </c>
      <c r="I1" s="3" t="inlineStr">
        <is>
          <t>ЖИ-2 балл</t>
        </is>
      </c>
      <c r="J1" s="3" t="inlineStr">
        <is>
          <t>ЖИ-2 қате түрі</t>
        </is>
      </c>
      <c r="K1" s="3" t="inlineStr">
        <is>
          <t>ЖИ-3 атаған тіркес</t>
        </is>
      </c>
      <c r="L1" s="3" t="inlineStr">
        <is>
          <t>ЖИ-3 балл</t>
        </is>
      </c>
      <c r="M1" s="3" t="inlineStr">
        <is>
          <t>ЖИ-3 қате түрі</t>
        </is>
      </c>
    </row>
    <row r="2" ht="40" customHeight="1">
      <c r="A2" s="4" t="n">
        <v>1</v>
      </c>
      <c r="B2" s="4" t="inlineStr">
        <is>
          <t>антоним</t>
        </is>
      </c>
      <c r="C2" s="5" t="inlineStr">
        <is>
          <t>Бетінен оты шықты</t>
        </is>
      </c>
      <c r="D2" s="5" t="inlineStr">
        <is>
          <t>Беті бүлк етпеді (ұялды – ұялмады)</t>
        </is>
      </c>
      <c r="E2" s="6" t="n"/>
      <c r="F2" s="7" t="n"/>
      <c r="G2" s="7" t="n"/>
      <c r="H2" s="6" t="n"/>
      <c r="I2" s="7" t="n"/>
      <c r="J2" s="7" t="n"/>
      <c r="K2" s="6" t="n"/>
      <c r="L2" s="7" t="n"/>
      <c r="M2" s="7" t="n"/>
    </row>
    <row r="3" ht="40" customHeight="1">
      <c r="A3" s="4" t="n">
        <v>2</v>
      </c>
      <c r="B3" s="4" t="inlineStr">
        <is>
          <t>антоним</t>
        </is>
      </c>
      <c r="C3" s="5" t="inlineStr">
        <is>
          <t>Ажары сынды</t>
        </is>
      </c>
      <c r="D3" s="5" t="inlineStr">
        <is>
          <t>Қуанышы қойнына сыймады (мұңайды – қуанды)</t>
        </is>
      </c>
      <c r="E3" s="6" t="n"/>
      <c r="F3" s="7" t="n"/>
      <c r="G3" s="7" t="n"/>
      <c r="H3" s="6" t="n"/>
      <c r="I3" s="7" t="n"/>
      <c r="J3" s="7" t="n"/>
      <c r="K3" s="6" t="n"/>
      <c r="L3" s="7" t="n"/>
      <c r="M3" s="7" t="n"/>
    </row>
    <row r="4" ht="40" customHeight="1">
      <c r="A4" s="4" t="n">
        <v>3</v>
      </c>
      <c r="B4" s="4" t="inlineStr">
        <is>
          <t>антоним</t>
        </is>
      </c>
      <c r="C4" s="5" t="inlineStr">
        <is>
          <t>Қолы қолына жұқпады</t>
        </is>
      </c>
      <c r="D4" s="5" t="inlineStr">
        <is>
          <t>Саусағының ұшын қимылдатпады (тез қимылдады – ештеңе істемеді)</t>
        </is>
      </c>
      <c r="E4" s="6" t="n"/>
      <c r="F4" s="7" t="n"/>
      <c r="G4" s="7" t="n"/>
      <c r="H4" s="6" t="n"/>
      <c r="I4" s="7" t="n"/>
      <c r="J4" s="7" t="n"/>
      <c r="K4" s="6" t="n"/>
      <c r="L4" s="7" t="n"/>
      <c r="M4" s="7" t="n"/>
    </row>
    <row r="5" ht="40" customHeight="1">
      <c r="A5" s="4" t="n">
        <v>4</v>
      </c>
      <c r="B5" s="4" t="inlineStr">
        <is>
          <t>синоним</t>
        </is>
      </c>
      <c r="C5" s="5" t="inlineStr">
        <is>
          <t>Үріп ауызға салғандай</t>
        </is>
      </c>
      <c r="D5" s="5" t="inlineStr">
        <is>
          <t>Қыздың жиған жүгіндей (сұлу, әдемі)</t>
        </is>
      </c>
      <c r="E5" s="6" t="n"/>
      <c r="F5" s="7" t="n"/>
      <c r="G5" s="7" t="n"/>
      <c r="H5" s="6" t="n"/>
      <c r="I5" s="7" t="n"/>
      <c r="J5" s="7" t="n"/>
      <c r="K5" s="6" t="n"/>
      <c r="L5" s="7" t="n"/>
      <c r="M5" s="7" t="n"/>
    </row>
    <row r="6" ht="40" customHeight="1">
      <c r="A6" s="4" t="n">
        <v>5</v>
      </c>
      <c r="B6" s="4" t="inlineStr">
        <is>
          <t>синоним</t>
        </is>
      </c>
      <c r="C6" s="5" t="inlineStr">
        <is>
          <t>Ит өлген жер</t>
        </is>
      </c>
      <c r="D6" s="5" t="inlineStr">
        <is>
          <t>Ит арқасы қиянда; Жер түбі (алыс, шалғай)</t>
        </is>
      </c>
      <c r="E6" s="6" t="n"/>
      <c r="F6" s="7" t="n"/>
      <c r="G6" s="7" t="n"/>
      <c r="H6" s="6" t="n"/>
      <c r="I6" s="7" t="n"/>
      <c r="J6" s="7" t="n"/>
      <c r="K6" s="6" t="n"/>
      <c r="L6" s="7" t="n"/>
      <c r="M6" s="7" t="n"/>
    </row>
    <row r="7" ht="40" customHeight="1">
      <c r="A7" s="4" t="n">
        <v>6</v>
      </c>
      <c r="B7" s="4" t="inlineStr">
        <is>
          <t>синоним</t>
        </is>
      </c>
      <c r="C7" s="5" t="inlineStr">
        <is>
          <t>Ит терісін басына қаптады</t>
        </is>
      </c>
      <c r="D7" s="5" t="inlineStr">
        <is>
          <t>Жерден алып, жерге салды (ұрысты, сөкті)</t>
        </is>
      </c>
      <c r="E7" s="6" t="n"/>
      <c r="F7" s="7" t="n"/>
      <c r="G7" s="7" t="n"/>
      <c r="H7" s="6" t="n"/>
      <c r="I7" s="7" t="n"/>
      <c r="J7" s="7" t="n"/>
      <c r="K7" s="6" t="n"/>
      <c r="L7" s="7" t="n"/>
      <c r="M7" s="7" t="n"/>
    </row>
    <row r="9">
      <c r="A9" s="8" t="inlineStr">
        <is>
          <t>Балл: 2 – нақты тұрақты тіркес әрі мағынасы дұрыс; 1 – мағынасы дұрыс, бірақ тұрақты тіркес емес (жай сөз); 0 – қате немесе жоқ тіркес.</t>
        </is>
      </c>
    </row>
  </sheetData>
  <dataValidations count="2">
    <dataValidation sqref="F2 F3 F4 F5 F6 F7 F8 F9 F10 F11 F12 F13 F14 F15 F16 F17 F18 F19 F20 F21 F22 F23 F24 F25 F26 F27 F28 F29 F30 F31 I2 I3 I4 I5 I6 I7 I8 I9 I10 I11 I12 I13 I14 I15 I16 I17 I18 I19 I20 I21 I22 I23 I24 I25 I26 I27 I28 I29 I30 I31 L2 L3 L4 L5 L6 L7 L8 L9 L10 L11 L12 L13 L14 L15 L16 L17 L18 L19 L20 L21 L22 L23 L24 L25 L26 L27 L28 L29 L30 L31" showDropDown="0" showInputMessage="0" showErrorMessage="0" allowBlank="1" type="list">
      <formula1>"0,1,2"</formula1>
    </dataValidation>
    <dataValidation sqref="G2 G3 G4 G5 G6 G7 G8 G9 G10 G11 G12 G13 G14 G15 G16 G17 G18 G19 G20 G21 G22 G23 G24 G25 G26 G27 G28 G29 G30 G31 J2 J3 J4 J5 J6 J7 J8 J9 J10 J11 J12 J13 J14 J15 J16 J17 J18 J19 J20 J21 J22 J23 J24 J25 J26 J27 J28 J29 J30 J31 M2 M3 M4 M5 M6 M7 M8 M9 M10 M11 M12 M13 M14 M15 M16 M17 M18 M19 M20 M21 M22 M23 M24 M25 M26 M27 M28 M29 M30 M31" showDropDown="0" showInputMessage="0" showErrorMessage="0" allowBlank="1" type="list">
      <formula1>"С,Б,О,Ж"</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26"/>
  <sheetViews>
    <sheetView workbookViewId="0">
      <selection activeCell="A1" sqref="A1"/>
    </sheetView>
  </sheetViews>
  <sheetFormatPr baseColWidth="8" defaultRowHeight="15"/>
  <cols>
    <col width="22" customWidth="1" min="1" max="1"/>
    <col width="5" customWidth="1" min="2" max="2"/>
    <col width="32" customWidth="1" min="3" max="3"/>
    <col width="8" customWidth="1" min="4" max="4"/>
    <col width="32" customWidth="1" min="5" max="5"/>
    <col width="8" customWidth="1" min="6" max="6"/>
    <col width="32" customWidth="1" min="7" max="7"/>
    <col width="8" customWidth="1" min="8" max="8"/>
  </cols>
  <sheetData>
    <row r="1">
      <c r="A1" s="3" t="inlineStr">
        <is>
          <t>Мағыналық топ</t>
        </is>
      </c>
      <c r="B1" s="3" t="inlineStr">
        <is>
          <t>№</t>
        </is>
      </c>
      <c r="C1" s="3" t="inlineStr">
        <is>
          <t>ЖИ-1 атаған тіркес</t>
        </is>
      </c>
      <c r="D1" s="3" t="inlineStr">
        <is>
          <t>ЖИ-1 код</t>
        </is>
      </c>
      <c r="E1" s="3" t="inlineStr">
        <is>
          <t>ЖИ-2 атаған тіркес</t>
        </is>
      </c>
      <c r="F1" s="3" t="inlineStr">
        <is>
          <t>ЖИ-2 код</t>
        </is>
      </c>
      <c r="G1" s="3" t="inlineStr">
        <is>
          <t>ЖИ-3 атаған тіркес</t>
        </is>
      </c>
      <c r="H1" s="3" t="inlineStr">
        <is>
          <t>ЖИ-3 код</t>
        </is>
      </c>
    </row>
    <row r="2">
      <c r="A2" s="4" t="inlineStr">
        <is>
          <t>ТЕЗ, ШАПШАҢ</t>
        </is>
      </c>
      <c r="B2" s="4" t="n">
        <v>1</v>
      </c>
      <c r="C2" s="6" t="n"/>
      <c r="D2" s="7" t="n"/>
      <c r="E2" s="6" t="n"/>
      <c r="F2" s="7" t="n"/>
      <c r="G2" s="6" t="n"/>
      <c r="H2" s="7" t="n"/>
    </row>
    <row r="3">
      <c r="A3" s="9" t="n"/>
      <c r="B3" s="4" t="n">
        <v>2</v>
      </c>
      <c r="C3" s="6" t="n"/>
      <c r="D3" s="7" t="n"/>
      <c r="E3" s="6" t="n"/>
      <c r="F3" s="7" t="n"/>
      <c r="G3" s="6" t="n"/>
      <c r="H3" s="7" t="n"/>
    </row>
    <row r="4">
      <c r="A4" s="9" t="n"/>
      <c r="B4" s="4" t="n">
        <v>3</v>
      </c>
      <c r="C4" s="6" t="n"/>
      <c r="D4" s="7" t="n"/>
      <c r="E4" s="6" t="n"/>
      <c r="F4" s="7" t="n"/>
      <c r="G4" s="6" t="n"/>
      <c r="H4" s="7" t="n"/>
    </row>
    <row r="5">
      <c r="A5" s="9" t="n"/>
      <c r="B5" s="4" t="n">
        <v>4</v>
      </c>
      <c r="C5" s="6" t="n"/>
      <c r="D5" s="7" t="n"/>
      <c r="E5" s="6" t="n"/>
      <c r="F5" s="7" t="n"/>
      <c r="G5" s="6" t="n"/>
      <c r="H5" s="7" t="n"/>
    </row>
    <row r="6">
      <c r="A6" s="10" t="n"/>
      <c r="B6" s="4" t="n">
        <v>5</v>
      </c>
      <c r="C6" s="6" t="n"/>
      <c r="D6" s="7" t="n"/>
      <c r="E6" s="6" t="n"/>
      <c r="F6" s="7" t="n"/>
      <c r="G6" s="6" t="n"/>
      <c r="H6" s="7" t="n"/>
    </row>
    <row r="7">
      <c r="A7" s="4" t="inlineStr">
        <is>
          <t>АЛЫС ЖЕР</t>
        </is>
      </c>
      <c r="B7" s="4" t="n">
        <v>1</v>
      </c>
      <c r="C7" s="6" t="n"/>
      <c r="D7" s="7" t="n"/>
      <c r="E7" s="6" t="n"/>
      <c r="F7" s="7" t="n"/>
      <c r="G7" s="6" t="n"/>
      <c r="H7" s="7" t="n"/>
    </row>
    <row r="8">
      <c r="A8" s="9" t="n"/>
      <c r="B8" s="4" t="n">
        <v>2</v>
      </c>
      <c r="C8" s="6" t="n"/>
      <c r="D8" s="7" t="n"/>
      <c r="E8" s="6" t="n"/>
      <c r="F8" s="7" t="n"/>
      <c r="G8" s="6" t="n"/>
      <c r="H8" s="7" t="n"/>
    </row>
    <row r="9">
      <c r="A9" s="9" t="n"/>
      <c r="B9" s="4" t="n">
        <v>3</v>
      </c>
      <c r="C9" s="6" t="n"/>
      <c r="D9" s="7" t="n"/>
      <c r="E9" s="6" t="n"/>
      <c r="F9" s="7" t="n"/>
      <c r="G9" s="6" t="n"/>
      <c r="H9" s="7" t="n"/>
    </row>
    <row r="10">
      <c r="A10" s="9" t="n"/>
      <c r="B10" s="4" t="n">
        <v>4</v>
      </c>
      <c r="C10" s="6" t="n"/>
      <c r="D10" s="7" t="n"/>
      <c r="E10" s="6" t="n"/>
      <c r="F10" s="7" t="n"/>
      <c r="G10" s="6" t="n"/>
      <c r="H10" s="7" t="n"/>
    </row>
    <row r="11">
      <c r="A11" s="10" t="n"/>
      <c r="B11" s="4" t="n">
        <v>5</v>
      </c>
      <c r="C11" s="6" t="n"/>
      <c r="D11" s="7" t="n"/>
      <c r="E11" s="6" t="n"/>
      <c r="F11" s="7" t="n"/>
      <c r="G11" s="6" t="n"/>
      <c r="H11" s="7" t="n"/>
    </row>
    <row r="12">
      <c r="A12" s="4" t="inlineStr">
        <is>
          <t>ЖАҚЫН ЖЕР</t>
        </is>
      </c>
      <c r="B12" s="4" t="n">
        <v>1</v>
      </c>
      <c r="C12" s="6" t="n"/>
      <c r="D12" s="7" t="n"/>
      <c r="E12" s="6" t="n"/>
      <c r="F12" s="7" t="n"/>
      <c r="G12" s="6" t="n"/>
      <c r="H12" s="7" t="n"/>
    </row>
    <row r="13">
      <c r="A13" s="9" t="n"/>
      <c r="B13" s="4" t="n">
        <v>2</v>
      </c>
      <c r="C13" s="6" t="n"/>
      <c r="D13" s="7" t="n"/>
      <c r="E13" s="6" t="n"/>
      <c r="F13" s="7" t="n"/>
      <c r="G13" s="6" t="n"/>
      <c r="H13" s="7" t="n"/>
    </row>
    <row r="14">
      <c r="A14" s="9" t="n"/>
      <c r="B14" s="4" t="n">
        <v>3</v>
      </c>
      <c r="C14" s="6" t="n"/>
      <c r="D14" s="7" t="n"/>
      <c r="E14" s="6" t="n"/>
      <c r="F14" s="7" t="n"/>
      <c r="G14" s="6" t="n"/>
      <c r="H14" s="7" t="n"/>
    </row>
    <row r="15">
      <c r="A15" s="9" t="n"/>
      <c r="B15" s="4" t="n">
        <v>4</v>
      </c>
      <c r="C15" s="6" t="n"/>
      <c r="D15" s="7" t="n"/>
      <c r="E15" s="6" t="n"/>
      <c r="F15" s="7" t="n"/>
      <c r="G15" s="6" t="n"/>
      <c r="H15" s="7" t="n"/>
    </row>
    <row r="16">
      <c r="A16" s="10" t="n"/>
      <c r="B16" s="4" t="n">
        <v>5</v>
      </c>
      <c r="C16" s="6" t="n"/>
      <c r="D16" s="7" t="n"/>
      <c r="E16" s="6" t="n"/>
      <c r="F16" s="7" t="n"/>
      <c r="G16" s="6" t="n"/>
      <c r="H16" s="7" t="n"/>
    </row>
    <row r="17">
      <c r="A17" s="4" t="inlineStr">
        <is>
          <t>КӨП (адам, әскер)</t>
        </is>
      </c>
      <c r="B17" s="4" t="n">
        <v>1</v>
      </c>
      <c r="C17" s="6" t="n"/>
      <c r="D17" s="7" t="n"/>
      <c r="E17" s="6" t="n"/>
      <c r="F17" s="7" t="n"/>
      <c r="G17" s="6" t="n"/>
      <c r="H17" s="7" t="n"/>
    </row>
    <row r="18">
      <c r="A18" s="9" t="n"/>
      <c r="B18" s="4" t="n">
        <v>2</v>
      </c>
      <c r="C18" s="6" t="n"/>
      <c r="D18" s="7" t="n"/>
      <c r="E18" s="6" t="n"/>
      <c r="F18" s="7" t="n"/>
      <c r="G18" s="6" t="n"/>
      <c r="H18" s="7" t="n"/>
    </row>
    <row r="19">
      <c r="A19" s="9" t="n"/>
      <c r="B19" s="4" t="n">
        <v>3</v>
      </c>
      <c r="C19" s="6" t="n"/>
      <c r="D19" s="7" t="n"/>
      <c r="E19" s="6" t="n"/>
      <c r="F19" s="7" t="n"/>
      <c r="G19" s="6" t="n"/>
      <c r="H19" s="7" t="n"/>
    </row>
    <row r="20">
      <c r="A20" s="9" t="n"/>
      <c r="B20" s="4" t="n">
        <v>4</v>
      </c>
      <c r="C20" s="6" t="n"/>
      <c r="D20" s="7" t="n"/>
      <c r="E20" s="6" t="n"/>
      <c r="F20" s="7" t="n"/>
      <c r="G20" s="6" t="n"/>
      <c r="H20" s="7" t="n"/>
    </row>
    <row r="21">
      <c r="A21" s="10" t="n"/>
      <c r="B21" s="4" t="n">
        <v>5</v>
      </c>
      <c r="C21" s="6" t="n"/>
      <c r="D21" s="7" t="n"/>
      <c r="E21" s="6" t="n"/>
      <c r="F21" s="7" t="n"/>
      <c r="G21" s="6" t="n"/>
      <c r="H21" s="7" t="n"/>
    </row>
    <row r="22">
      <c r="A22" s="4" t="inlineStr">
        <is>
          <t>КЕШКІ УАҚЫТ, ЫМЫРТ</t>
        </is>
      </c>
      <c r="B22" s="4" t="n">
        <v>1</v>
      </c>
      <c r="C22" s="6" t="n"/>
      <c r="D22" s="7" t="n"/>
      <c r="E22" s="6" t="n"/>
      <c r="F22" s="7" t="n"/>
      <c r="G22" s="6" t="n"/>
      <c r="H22" s="7" t="n"/>
    </row>
    <row r="23">
      <c r="A23" s="9" t="n"/>
      <c r="B23" s="4" t="n">
        <v>2</v>
      </c>
      <c r="C23" s="6" t="n"/>
      <c r="D23" s="7" t="n"/>
      <c r="E23" s="6" t="n"/>
      <c r="F23" s="7" t="n"/>
      <c r="G23" s="6" t="n"/>
      <c r="H23" s="7" t="n"/>
    </row>
    <row r="24">
      <c r="A24" s="9" t="n"/>
      <c r="B24" s="4" t="n">
        <v>3</v>
      </c>
      <c r="C24" s="6" t="n"/>
      <c r="D24" s="7" t="n"/>
      <c r="E24" s="6" t="n"/>
      <c r="F24" s="7" t="n"/>
      <c r="G24" s="6" t="n"/>
      <c r="H24" s="7" t="n"/>
    </row>
    <row r="25">
      <c r="A25" s="9" t="n"/>
      <c r="B25" s="4" t="n">
        <v>4</v>
      </c>
      <c r="C25" s="6" t="n"/>
      <c r="D25" s="7" t="n"/>
      <c r="E25" s="6" t="n"/>
      <c r="F25" s="7" t="n"/>
      <c r="G25" s="6" t="n"/>
      <c r="H25" s="7" t="n"/>
    </row>
    <row r="26">
      <c r="A26" s="10" t="n"/>
      <c r="B26" s="4" t="n">
        <v>5</v>
      </c>
      <c r="C26" s="6" t="n"/>
      <c r="D26" s="7" t="n"/>
      <c r="E26" s="6" t="n"/>
      <c r="F26" s="7" t="n"/>
      <c r="G26" s="6" t="n"/>
      <c r="H26" s="7" t="n"/>
    </row>
  </sheetData>
  <mergeCells count="5">
    <mergeCell ref="A22:A26"/>
    <mergeCell ref="A17:A21"/>
    <mergeCell ref="A12:A16"/>
    <mergeCell ref="A2:A6"/>
    <mergeCell ref="A7:A11"/>
  </mergeCells>
  <dataValidations count="1">
    <dataValidation sqref="D2 D3 D4 D5 D6 D7 D8 D9 D10 D11 D12 D13 D14 D15 D16 D17 D18 D19 D20 D21 D22 D23 D24 D25 D26 F2 F3 F4 F5 F6 F7 F8 F9 F10 F11 F12 F13 F14 F15 F16 F17 F18 F19 F20 F21 F22 F23 F24 F25 F26 H2 H3 H4 H5 H6 H7 H8 H9 H10 H11 H12 H13 H14 H15 H16 H17 H18 H19 H20 H21 H22 H23 H24 H25 H26" showDropDown="0" showInputMessage="0" showErrorMessage="0" allowBlank="1" type="list">
      <formula1>"Н,М,Ж,Т"</formula1>
    </dataValidation>
  </dataValidation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31"/>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s>
  <sheetData>
    <row r="1">
      <c r="A1" s="11" t="inlineStr">
        <is>
          <t>ЖИ құралдары (атауы, нұсқасы, тексеру күні)</t>
        </is>
      </c>
    </row>
    <row r="2">
      <c r="A2" s="5" t="inlineStr">
        <is>
          <t>ЖИ-1</t>
        </is>
      </c>
      <c r="B2" s="6" t="n"/>
    </row>
    <row r="3">
      <c r="A3" s="5" t="inlineStr">
        <is>
          <t>ЖИ-2</t>
        </is>
      </c>
      <c r="B3" s="6" t="n"/>
    </row>
    <row r="4">
      <c r="A4" s="5" t="inlineStr">
        <is>
          <t>ЖИ-3</t>
        </is>
      </c>
      <c r="B4" s="6" t="n"/>
    </row>
    <row r="6">
      <c r="A6" s="11" t="inlineStr">
        <is>
          <t>1-тәжірибе: сапа көрсеткіші, % (жинаған балл ÷ ең жоғары балл × 100)</t>
        </is>
      </c>
    </row>
    <row r="7">
      <c r="A7" s="3" t="inlineStr">
        <is>
          <t>Топ</t>
        </is>
      </c>
      <c r="B7" s="3" t="inlineStr">
        <is>
          <t>ЖИ-1</t>
        </is>
      </c>
      <c r="C7" s="3" t="inlineStr">
        <is>
          <t>ЖИ-2</t>
        </is>
      </c>
      <c r="D7" s="3" t="inlineStr">
        <is>
          <t>ЖИ-3</t>
        </is>
      </c>
      <c r="E7" s="3" t="inlineStr">
        <is>
          <t>Орташа</t>
        </is>
      </c>
    </row>
    <row r="8">
      <c r="A8" s="5" t="inlineStr">
        <is>
          <t>А – Мөлдір бейнелі тіркестер</t>
        </is>
      </c>
      <c r="B8" s="4">
        <f>IFERROR(ROUND(SUM('1-тәжірибе'!F2:F11)/(2*COUNT('1-тәжірибе'!F2:F11))*100,1),"")</f>
        <v/>
      </c>
      <c r="C8" s="4">
        <f>IFERROR(ROUND(SUM('1-тәжірибе'!I2:I11)/(2*COUNT('1-тәжірибе'!I2:I11))*100,1),"")</f>
        <v/>
      </c>
      <c r="D8" s="4">
        <f>IFERROR(ROUND(SUM('1-тәжірибе'!L2:L11)/(2*COUNT('1-тәжірибе'!L2:L11))*100,1),"")</f>
        <v/>
      </c>
      <c r="E8" s="4">
        <f>IFERROR(ROUND(AVERAGE(B8:D8),1),"")</f>
        <v/>
      </c>
    </row>
    <row r="9">
      <c r="A9" s="5" t="inlineStr">
        <is>
          <t>Ә – Астарлы бейнелі тіркестер</t>
        </is>
      </c>
      <c r="B9" s="4">
        <f>IFERROR(ROUND(SUM('1-тәжірибе'!F12:F21)/(2*COUNT('1-тәжірибе'!F12:F21))*100,1),"")</f>
        <v/>
      </c>
      <c r="C9" s="4">
        <f>IFERROR(ROUND(SUM('1-тәжірибе'!I12:I21)/(2*COUNT('1-тәжірибе'!I12:I21))*100,1),"")</f>
        <v/>
      </c>
      <c r="D9" s="4">
        <f>IFERROR(ROUND(SUM('1-тәжірибе'!L12:L21)/(2*COUNT('1-тәжірибе'!L12:L21))*100,1),"")</f>
        <v/>
      </c>
      <c r="E9" s="4">
        <f>IFERROR(ROUND(AVERAGE(B9:D9),1),"")</f>
        <v/>
      </c>
    </row>
    <row r="10">
      <c r="A10" s="5" t="inlineStr">
        <is>
          <t>Б – Ұлттық-мәдени тіркестер</t>
        </is>
      </c>
      <c r="B10" s="4">
        <f>IFERROR(ROUND(SUM('1-тәжірибе'!F22:F31)/(2*COUNT('1-тәжірибе'!F22:F31))*100,1),"")</f>
        <v/>
      </c>
      <c r="C10" s="4">
        <f>IFERROR(ROUND(SUM('1-тәжірибе'!I22:I31)/(2*COUNT('1-тәжірибе'!I22:I31))*100,1),"")</f>
        <v/>
      </c>
      <c r="D10" s="4">
        <f>IFERROR(ROUND(SUM('1-тәжірибе'!L22:L31)/(2*COUNT('1-тәжірибе'!L22:L31))*100,1),"")</f>
        <v/>
      </c>
      <c r="E10" s="4">
        <f>IFERROR(ROUND(AVERAGE(B10:D10),1),"")</f>
        <v/>
      </c>
    </row>
    <row r="11">
      <c r="A11" s="12" t="inlineStr">
        <is>
          <t>Барлық 30 тіркес</t>
        </is>
      </c>
      <c r="B11" s="4">
        <f>IFERROR(ROUND(SUM('1-тәжірибе'!F2:F31)/(2*COUNT('1-тәжірибе'!F2:F31))*100,1),"")</f>
        <v/>
      </c>
      <c r="C11" s="4">
        <f>IFERROR(ROUND(SUM('1-тәжірибе'!I2:I31)/(2*COUNT('1-тәжірибе'!I2:I31))*100,1),"")</f>
        <v/>
      </c>
      <c r="D11" s="4">
        <f>IFERROR(ROUND(SUM('1-тәжірибе'!L2:L31)/(2*COUNT('1-тәжірибе'!L2:L31))*100,1),"")</f>
        <v/>
      </c>
      <c r="E11" s="4">
        <f>IFERROR(ROUND(AVERAGE(B11:D11),1),"")</f>
        <v/>
      </c>
    </row>
    <row r="13">
      <c r="A13" s="11" t="inlineStr">
        <is>
          <t>1-тәжірибе: қате түрлерінің саны</t>
        </is>
      </c>
    </row>
    <row r="14">
      <c r="A14" s="3" t="inlineStr">
        <is>
          <t>Қате түрі</t>
        </is>
      </c>
      <c r="B14" s="3" t="inlineStr">
        <is>
          <t>ЖИ-1</t>
        </is>
      </c>
      <c r="C14" s="3" t="inlineStr">
        <is>
          <t>ЖИ-2</t>
        </is>
      </c>
      <c r="D14" s="3" t="inlineStr">
        <is>
          <t>ЖИ-3</t>
        </is>
      </c>
      <c r="E14" s="3" t="inlineStr">
        <is>
          <t>Барлығы</t>
        </is>
      </c>
    </row>
    <row r="15">
      <c r="A15" s="5" t="inlineStr">
        <is>
          <t>С – Сөзбе-сөз түсіндіру</t>
        </is>
      </c>
      <c r="B15" s="4">
        <f>COUNTIF('1-тәжірибе'!G2:G31,"С")</f>
        <v/>
      </c>
      <c r="C15" s="4">
        <f>COUNTIF('1-тәжірибе'!J2:J31,"С")</f>
        <v/>
      </c>
      <c r="D15" s="4">
        <f>COUNTIF('1-тәжірибе'!M2:M31,"С")</f>
        <v/>
      </c>
      <c r="E15" s="4">
        <f>SUM(B15:D15)</f>
        <v/>
      </c>
    </row>
    <row r="16">
      <c r="A16" s="5" t="inlineStr">
        <is>
          <t>Б – Басқа мағына беру</t>
        </is>
      </c>
      <c r="B16" s="4">
        <f>COUNTIF('1-тәжірибе'!G2:G31,"Б")</f>
        <v/>
      </c>
      <c r="C16" s="4">
        <f>COUNTIF('1-тәжірибе'!J2:J31,"Б")</f>
        <v/>
      </c>
      <c r="D16" s="4">
        <f>COUNTIF('1-тәжірибе'!M2:M31,"Б")</f>
        <v/>
      </c>
      <c r="E16" s="4">
        <f>SUM(B16:D16)</f>
        <v/>
      </c>
    </row>
    <row r="17">
      <c r="A17" s="5" t="inlineStr">
        <is>
          <t>О – Ойдан шығару</t>
        </is>
      </c>
      <c r="B17" s="4">
        <f>COUNTIF('1-тәжірибе'!G2:G31,"О")</f>
        <v/>
      </c>
      <c r="C17" s="4">
        <f>COUNTIF('1-тәжірибе'!J2:J31,"О")</f>
        <v/>
      </c>
      <c r="D17" s="4">
        <f>COUNTIF('1-тәжірибе'!M2:M31,"О")</f>
        <v/>
      </c>
      <c r="E17" s="4">
        <f>SUM(B17:D17)</f>
        <v/>
      </c>
    </row>
    <row r="18">
      <c r="A18" s="5" t="inlineStr">
        <is>
          <t>Ж – Жалпылама жауап</t>
        </is>
      </c>
      <c r="B18" s="4">
        <f>COUNTIF('1-тәжірибе'!G2:G31,"Ж")</f>
        <v/>
      </c>
      <c r="C18" s="4">
        <f>COUNTIF('1-тәжірибе'!J2:J31,"Ж")</f>
        <v/>
      </c>
      <c r="D18" s="4">
        <f>COUNTIF('1-тәжірибе'!M2:M31,"Ж")</f>
        <v/>
      </c>
      <c r="E18" s="4">
        <f>SUM(B18:D18)</f>
        <v/>
      </c>
    </row>
    <row r="20">
      <c r="A20" s="11" t="inlineStr">
        <is>
          <t>2-тәжірибе: жинаған балл (ең жоғары – 12)</t>
        </is>
      </c>
    </row>
    <row r="21">
      <c r="A21" s="3" t="inlineStr">
        <is>
          <t>Тапсырма</t>
        </is>
      </c>
      <c r="B21" s="3" t="inlineStr">
        <is>
          <t>ЖИ-1</t>
        </is>
      </c>
      <c r="C21" s="3" t="inlineStr">
        <is>
          <t>ЖИ-2</t>
        </is>
      </c>
      <c r="D21" s="3" t="inlineStr">
        <is>
          <t>ЖИ-3</t>
        </is>
      </c>
      <c r="E21" s="3" t="inlineStr">
        <is>
          <t>Орташа</t>
        </is>
      </c>
    </row>
    <row r="22">
      <c r="A22" s="5" t="inlineStr">
        <is>
          <t>Антоним табу (ең жоғары – 6)</t>
        </is>
      </c>
      <c r="B22" s="4">
        <f>IF(COUNT('2-тәжірибе'!F2:F4)=0,"",SUM('2-тәжірибе'!F2:F4))</f>
        <v/>
      </c>
      <c r="C22" s="4">
        <f>IF(COUNT('2-тәжірибе'!I2:I4)=0,"",SUM('2-тәжірибе'!I2:I4))</f>
        <v/>
      </c>
      <c r="D22" s="4">
        <f>IF(COUNT('2-тәжірибе'!L2:L4)=0,"",SUM('2-тәжірибе'!L2:L4))</f>
        <v/>
      </c>
      <c r="E22" s="4">
        <f>IFERROR(ROUND(AVERAGE(B22:D22),1),"")</f>
        <v/>
      </c>
    </row>
    <row r="23">
      <c r="A23" s="5" t="inlineStr">
        <is>
          <t>Синоним табу (ең жоғары – 6)</t>
        </is>
      </c>
      <c r="B23" s="4">
        <f>IF(COUNT('2-тәжірибе'!F5:F7)=0,"",SUM('2-тәжірибе'!F5:F7))</f>
        <v/>
      </c>
      <c r="C23" s="4">
        <f>IF(COUNT('2-тәжірибе'!I5:I7)=0,"",SUM('2-тәжірибе'!I5:I7))</f>
        <v/>
      </c>
      <c r="D23" s="4">
        <f>IF(COUNT('2-тәжірибе'!L5:L7)=0,"",SUM('2-тәжірибе'!L5:L7))</f>
        <v/>
      </c>
      <c r="E23" s="4">
        <f>IFERROR(ROUND(AVERAGE(B23:D23),1),"")</f>
        <v/>
      </c>
    </row>
    <row r="24">
      <c r="A24" s="5" t="inlineStr">
        <is>
          <t>Барлығы (ең жоғары – 12)</t>
        </is>
      </c>
      <c r="B24" s="4">
        <f>IF(COUNT('2-тәжірибе'!F2:F7)=0,"",SUM('2-тәжірибе'!F2:F7))</f>
        <v/>
      </c>
      <c r="C24" s="4">
        <f>IF(COUNT('2-тәжірибе'!I2:I7)=0,"",SUM('2-тәжірибе'!I2:I7))</f>
        <v/>
      </c>
      <c r="D24" s="4">
        <f>IF(COUNT('2-тәжірибе'!L2:L7)=0,"",SUM('2-тәжірибе'!L2:L7))</f>
        <v/>
      </c>
      <c r="E24" s="4">
        <f>IFERROR(ROUND(AVERAGE(B24:D24),1),"")</f>
        <v/>
      </c>
    </row>
    <row r="26">
      <c r="A26" s="11" t="inlineStr">
        <is>
          <t>3-тәжірибе: ЖИ атаған 25 тіркестің құрамы</t>
        </is>
      </c>
    </row>
    <row r="27">
      <c r="A27" s="3" t="inlineStr">
        <is>
          <t>Код</t>
        </is>
      </c>
      <c r="B27" s="3" t="inlineStr">
        <is>
          <t>ЖИ-1</t>
        </is>
      </c>
      <c r="C27" s="3" t="inlineStr">
        <is>
          <t>ЖИ-2</t>
        </is>
      </c>
      <c r="D27" s="3" t="inlineStr">
        <is>
          <t>ЖИ-3</t>
        </is>
      </c>
      <c r="E27" s="3" t="inlineStr">
        <is>
          <t>Барлығы</t>
        </is>
      </c>
    </row>
    <row r="28">
      <c r="A28" s="5" t="inlineStr">
        <is>
          <t>Н – Нақты тіркес, мағынасы дұрыс</t>
        </is>
      </c>
      <c r="B28" s="4">
        <f>COUNTIF('3-тәжірибе'!D2:D26,"Н")</f>
        <v/>
      </c>
      <c r="C28" s="4">
        <f>COUNTIF('3-тәжірибе'!F2:F26,"Н")</f>
        <v/>
      </c>
      <c r="D28" s="4">
        <f>COUNTIF('3-тәжірибе'!H2:H26,"Н")</f>
        <v/>
      </c>
      <c r="E28" s="4">
        <f>SUM(B28:D28)</f>
        <v/>
      </c>
    </row>
    <row r="29">
      <c r="A29" s="5" t="inlineStr">
        <is>
          <t>М – Нақты тіркес, мағынасы басқа</t>
        </is>
      </c>
      <c r="B29" s="4">
        <f>COUNTIF('3-тәжірибе'!D2:D26,"М")</f>
        <v/>
      </c>
      <c r="C29" s="4">
        <f>COUNTIF('3-тәжірибе'!F2:F26,"М")</f>
        <v/>
      </c>
      <c r="D29" s="4">
        <f>COUNTIF('3-тәжірибе'!H2:H26,"М")</f>
        <v/>
      </c>
      <c r="E29" s="4">
        <f>SUM(B29:D29)</f>
        <v/>
      </c>
    </row>
    <row r="30">
      <c r="A30" s="5" t="inlineStr">
        <is>
          <t>Ж – Жоқ тіркес</t>
        </is>
      </c>
      <c r="B30" s="4">
        <f>COUNTIF('3-тәжірибе'!D2:D26,"Ж")</f>
        <v/>
      </c>
      <c r="C30" s="4">
        <f>COUNTIF('3-тәжірибе'!F2:F26,"Ж")</f>
        <v/>
      </c>
      <c r="D30" s="4">
        <f>COUNTIF('3-тәжірибе'!H2:H26,"Ж")</f>
        <v/>
      </c>
      <c r="E30" s="4">
        <f>SUM(B30:D30)</f>
        <v/>
      </c>
    </row>
    <row r="31">
      <c r="A31" s="5" t="inlineStr">
        <is>
          <t>Т – Тұрақты тіркес емес</t>
        </is>
      </c>
      <c r="B31" s="4">
        <f>COUNTIF('3-тәжірибе'!D2:D26,"Т")</f>
        <v/>
      </c>
      <c r="C31" s="4">
        <f>COUNTIF('3-тәжірибе'!F2:F26,"Т")</f>
        <v/>
      </c>
      <c r="D31" s="4">
        <f>COUNTIF('3-тәжірибе'!H2:H26,"Т")</f>
        <v/>
      </c>
      <c r="E31" s="4">
        <f>SUM(B31:D31)</f>
        <v/>
      </c>
    </row>
  </sheetData>
  <mergeCells count="3">
    <mergeCell ref="B3:E3"/>
    <mergeCell ref="B2:E2"/>
    <mergeCell ref="B4:E4"/>
  </mergeCells>
  <pageMargins left="0.75" right="0.75" top="1" bottom="1"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2026-09-28T04:56:37Z</dcterms:created>
  <dcterms:modified xsi:type="dcterms:W3CDTF">2026-09-28T04:56:37Z</dcterms:modified>
</cp:coreProperties>
</file>