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Тест" sheetId="1" state="visible" r:id="rId1"/>
    <sheet name="Деңгейлер" sheetId="2" state="visible" r:id="rId2"/>
    <sheet name="Сауалнама"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4">
    <fill>
      <patternFill/>
    </fill>
    <fill>
      <patternFill patternType="gray125"/>
    </fill>
    <fill>
      <patternFill patternType="solid">
        <fgColor rgb="00E3EAF3"/>
      </patternFill>
    </fill>
    <fill>
      <patternFill patternType="solid">
        <fgColor rgb="00FFF6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2" fillId="0" borderId="0" pivotButton="0" quotePrefix="0" xfId="0"/>
    <xf numFmtId="0" fontId="0" fillId="0" borderId="1" pivotButton="0" quotePrefix="0" xfId="0"/>
    <xf numFmtId="0" fontId="0" fillId="3" borderId="1"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Тесттің орташа балы</a:t>
            </a:r>
          </a:p>
        </rich>
      </tx>
    </title>
    <plotArea>
      <barChart>
        <barDir val="col"/>
        <grouping val="clustered"/>
        <ser>
          <idx val="0"/>
          <order val="0"/>
          <spPr>
            <a:ln>
              <a:prstDash val="solid"/>
            </a:ln>
          </spPr>
          <cat>
            <numRef>
              <f>'Тест'!$F$5:$F$6</f>
            </numRef>
          </cat>
          <val>
            <numRef>
              <f>'Тест'!$G$5:$G$6</f>
            </numRef>
          </val>
        </ser>
        <gapWidth val="150"/>
        <axId val="10"/>
        <axId val="100"/>
      </barChart>
      <catAx>
        <axId val="10"/>
        <scaling>
          <orientation val="minMax"/>
        </scaling>
        <axPos val="l"/>
        <majorTickMark val="none"/>
        <minorTickMark val="none"/>
        <crossAx val="100"/>
        <lblOffset val="100"/>
      </catAx>
      <valAx>
        <axId val="100"/>
        <scaling>
          <orientation val="minMax"/>
          <max val="10"/>
          <min val="0"/>
        </scaling>
        <axPos val="l"/>
        <majorGridlines/>
        <title>
          <tx>
            <rich>
              <a:bodyPr/>
              <a:p>
                <a:pPr>
                  <a:defRPr/>
                </a:pPr>
                <a:r>
                  <a:t>балл</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Деңгейлердегі орташа қате саны</a:t>
            </a:r>
          </a:p>
        </rich>
      </tx>
    </title>
    <plotArea>
      <barChart>
        <barDir val="col"/>
        <grouping val="clustered"/>
        <ser>
          <idx val="0"/>
          <order val="0"/>
          <spPr>
            <a:ln>
              <a:prstDash val="solid"/>
            </a:ln>
          </spPr>
          <cat>
            <numRef>
              <f>'Деңгейлер'!$B$4:$F$4</f>
            </numRef>
          </cat>
          <val>
            <numRef>
              <f>'Деңгейлер'!$B$35:$F$35</f>
            </numRef>
          </val>
        </ser>
        <gapWidth val="150"/>
        <axId val="10"/>
        <axId val="100"/>
      </barChart>
      <catAx>
        <axId val="10"/>
        <scaling>
          <orientation val="minMax"/>
        </scaling>
        <axPos val="l"/>
        <majorTickMark val="none"/>
        <minorTickMark val="none"/>
        <crossAx val="100"/>
        <lblOffset val="100"/>
      </catAx>
      <valAx>
        <axId val="100"/>
        <scaling>
          <orientation val="minMax"/>
          <min val="0"/>
        </scaling>
        <axPos val="l"/>
        <majorGridlines/>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Сауалнама нәтижелері</a:t>
            </a:r>
          </a:p>
        </rich>
      </tx>
    </title>
    <plotArea>
      <barChart>
        <barDir val="bar"/>
        <grouping val="stacked"/>
        <ser>
          <idx val="0"/>
          <order val="0"/>
          <tx>
            <strRef>
              <f>'Сауалнама'!B35</f>
            </strRef>
          </tx>
          <spPr>
            <a:ln>
              <a:prstDash val="solid"/>
            </a:ln>
          </spPr>
          <cat>
            <numRef>
              <f>'Сауалнама'!$A$36:$A$38</f>
            </numRef>
          </cat>
          <val>
            <numRef>
              <f>'Сауалнама'!$B$36:$B$38</f>
            </numRef>
          </val>
        </ser>
        <ser>
          <idx val="1"/>
          <order val="1"/>
          <tx>
            <strRef>
              <f>'Сауалнама'!C35</f>
            </strRef>
          </tx>
          <spPr>
            <a:ln>
              <a:prstDash val="solid"/>
            </a:ln>
          </spPr>
          <cat>
            <numRef>
              <f>'Сауалнама'!$A$36:$A$38</f>
            </numRef>
          </cat>
          <val>
            <numRef>
              <f>'Сауалнама'!$C$36:$C$38</f>
            </numRef>
          </val>
        </ser>
        <ser>
          <idx val="2"/>
          <order val="2"/>
          <tx>
            <strRef>
              <f>'Сауалнама'!D35</f>
            </strRef>
          </tx>
          <spPr>
            <a:ln>
              <a:prstDash val="solid"/>
            </a:ln>
          </spPr>
          <cat>
            <numRef>
              <f>'Сауалнама'!$A$36:$A$38</f>
            </numRef>
          </cat>
          <val>
            <numRef>
              <f>'Сауалнама'!$D$36:$D$38</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8</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3</row>
      <rowOff>0</rowOff>
    </from>
    <ext cx="504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2</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18" customWidth="1" min="1" max="1"/>
    <col width="14" customWidth="1" min="2" max="2"/>
    <col width="14" customWidth="1" min="3" max="3"/>
    <col width="11" customWidth="1" min="4" max="4"/>
    <col width="3" customWidth="1" min="5" max="5"/>
    <col width="16" customWidth="1" min="6" max="6"/>
    <col width="8" customWidth="1" min="7" max="7"/>
  </cols>
  <sheetData>
    <row r="1">
      <c r="A1" s="1" t="inlineStr">
        <is>
          <t>Ойынға дейінгі және кейінгі тест нәтижелері (балл, 10-нан)</t>
        </is>
      </c>
    </row>
    <row r="2">
      <c r="A2" t="inlineStr">
        <is>
          <t>Сары ұяшықтарға ойынның «Нәтижелер» бетіндегі деректерді жазыңыз. Аты-жөн емес, код жазылады.</t>
        </is>
      </c>
    </row>
    <row r="4">
      <c r="A4" s="2" t="inlineStr">
        <is>
          <t>Оқушы коды</t>
        </is>
      </c>
      <c r="B4" s="2" t="inlineStr">
        <is>
          <t>Ойынға дейін</t>
        </is>
      </c>
      <c r="C4" s="2" t="inlineStr">
        <is>
          <t>Ойыннан кейін</t>
        </is>
      </c>
      <c r="D4" s="2" t="inlineStr">
        <is>
          <t>Өзгеріс</t>
        </is>
      </c>
      <c r="F4" s="3" t="inlineStr">
        <is>
          <t>Диаграмма үшін</t>
        </is>
      </c>
    </row>
    <row r="5">
      <c r="A5" s="4" t="inlineStr">
        <is>
          <t>3А-01</t>
        </is>
      </c>
      <c r="B5" s="5" t="n"/>
      <c r="C5" s="5" t="n"/>
      <c r="D5" s="4">
        <f>IF(AND(B5&lt;&gt;"",C5&lt;&gt;""),C5-B5,"")</f>
        <v/>
      </c>
      <c r="F5" t="inlineStr">
        <is>
          <t>Ойынға дейін</t>
        </is>
      </c>
      <c r="G5">
        <f>B35</f>
        <v/>
      </c>
    </row>
    <row r="6">
      <c r="A6" s="4" t="inlineStr">
        <is>
          <t>3А-02</t>
        </is>
      </c>
      <c r="B6" s="5" t="n"/>
      <c r="C6" s="5" t="n"/>
      <c r="D6" s="4">
        <f>IF(AND(B6&lt;&gt;"",C6&lt;&gt;""),C6-B6,"")</f>
        <v/>
      </c>
      <c r="F6" t="inlineStr">
        <is>
          <t>Ойыннан кейін</t>
        </is>
      </c>
      <c r="G6">
        <f>C35</f>
        <v/>
      </c>
    </row>
    <row r="7">
      <c r="A7" s="4" t="inlineStr">
        <is>
          <t>3А-03</t>
        </is>
      </c>
      <c r="B7" s="5" t="n"/>
      <c r="C7" s="5" t="n"/>
      <c r="D7" s="4">
        <f>IF(AND(B7&lt;&gt;"",C7&lt;&gt;""),C7-B7,"")</f>
        <v/>
      </c>
    </row>
    <row r="8">
      <c r="A8" s="4" t="inlineStr">
        <is>
          <t>3А-04</t>
        </is>
      </c>
      <c r="B8" s="5" t="n"/>
      <c r="C8" s="5" t="n"/>
      <c r="D8" s="4">
        <f>IF(AND(B8&lt;&gt;"",C8&lt;&gt;""),C8-B8,"")</f>
        <v/>
      </c>
    </row>
    <row r="9">
      <c r="A9" s="4" t="inlineStr">
        <is>
          <t>3А-05</t>
        </is>
      </c>
      <c r="B9" s="5" t="n"/>
      <c r="C9" s="5" t="n"/>
      <c r="D9" s="4">
        <f>IF(AND(B9&lt;&gt;"",C9&lt;&gt;""),C9-B9,"")</f>
        <v/>
      </c>
    </row>
    <row r="10">
      <c r="A10" s="4" t="inlineStr">
        <is>
          <t>3А-06</t>
        </is>
      </c>
      <c r="B10" s="5" t="n"/>
      <c r="C10" s="5" t="n"/>
      <c r="D10" s="4">
        <f>IF(AND(B10&lt;&gt;"",C10&lt;&gt;""),C10-B10,"")</f>
        <v/>
      </c>
    </row>
    <row r="11">
      <c r="A11" s="4" t="inlineStr">
        <is>
          <t>3А-07</t>
        </is>
      </c>
      <c r="B11" s="5" t="n"/>
      <c r="C11" s="5" t="n"/>
      <c r="D11" s="4">
        <f>IF(AND(B11&lt;&gt;"",C11&lt;&gt;""),C11-B11,"")</f>
        <v/>
      </c>
    </row>
    <row r="12">
      <c r="A12" s="4" t="inlineStr">
        <is>
          <t>3А-08</t>
        </is>
      </c>
      <c r="B12" s="5" t="n"/>
      <c r="C12" s="5" t="n"/>
      <c r="D12" s="4">
        <f>IF(AND(B12&lt;&gt;"",C12&lt;&gt;""),C12-B12,"")</f>
        <v/>
      </c>
    </row>
    <row r="13">
      <c r="A13" s="4" t="inlineStr">
        <is>
          <t>3А-09</t>
        </is>
      </c>
      <c r="B13" s="5" t="n"/>
      <c r="C13" s="5" t="n"/>
      <c r="D13" s="4">
        <f>IF(AND(B13&lt;&gt;"",C13&lt;&gt;""),C13-B13,"")</f>
        <v/>
      </c>
    </row>
    <row r="14">
      <c r="A14" s="4" t="inlineStr">
        <is>
          <t>3А-10</t>
        </is>
      </c>
      <c r="B14" s="5" t="n"/>
      <c r="C14" s="5" t="n"/>
      <c r="D14" s="4">
        <f>IF(AND(B14&lt;&gt;"",C14&lt;&gt;""),C14-B14,"")</f>
        <v/>
      </c>
    </row>
    <row r="15">
      <c r="A15" s="4" t="inlineStr">
        <is>
          <t>3А-11</t>
        </is>
      </c>
      <c r="B15" s="5" t="n"/>
      <c r="C15" s="5" t="n"/>
      <c r="D15" s="4">
        <f>IF(AND(B15&lt;&gt;"",C15&lt;&gt;""),C15-B15,"")</f>
        <v/>
      </c>
    </row>
    <row r="16">
      <c r="A16" s="4" t="inlineStr">
        <is>
          <t>3А-12</t>
        </is>
      </c>
      <c r="B16" s="5" t="n"/>
      <c r="C16" s="5" t="n"/>
      <c r="D16" s="4">
        <f>IF(AND(B16&lt;&gt;"",C16&lt;&gt;""),C16-B16,"")</f>
        <v/>
      </c>
    </row>
    <row r="17">
      <c r="A17" s="4" t="inlineStr">
        <is>
          <t>3А-13</t>
        </is>
      </c>
      <c r="B17" s="5" t="n"/>
      <c r="C17" s="5" t="n"/>
      <c r="D17" s="4">
        <f>IF(AND(B17&lt;&gt;"",C17&lt;&gt;""),C17-B17,"")</f>
        <v/>
      </c>
    </row>
    <row r="18">
      <c r="A18" s="4" t="inlineStr">
        <is>
          <t>3А-14</t>
        </is>
      </c>
      <c r="B18" s="5" t="n"/>
      <c r="C18" s="5" t="n"/>
      <c r="D18" s="4">
        <f>IF(AND(B18&lt;&gt;"",C18&lt;&gt;""),C18-B18,"")</f>
        <v/>
      </c>
    </row>
    <row r="19">
      <c r="A19" s="4" t="inlineStr">
        <is>
          <t>3А-15</t>
        </is>
      </c>
      <c r="B19" s="5" t="n"/>
      <c r="C19" s="5" t="n"/>
      <c r="D19" s="4">
        <f>IF(AND(B19&lt;&gt;"",C19&lt;&gt;""),C19-B19,"")</f>
        <v/>
      </c>
    </row>
    <row r="20">
      <c r="A20" s="4" t="inlineStr">
        <is>
          <t>3А-16</t>
        </is>
      </c>
      <c r="B20" s="5" t="n"/>
      <c r="C20" s="5" t="n"/>
      <c r="D20" s="4">
        <f>IF(AND(B20&lt;&gt;"",C20&lt;&gt;""),C20-B20,"")</f>
        <v/>
      </c>
    </row>
    <row r="21">
      <c r="A21" s="4" t="inlineStr">
        <is>
          <t>3А-17</t>
        </is>
      </c>
      <c r="B21" s="5" t="n"/>
      <c r="C21" s="5" t="n"/>
      <c r="D21" s="4">
        <f>IF(AND(B21&lt;&gt;"",C21&lt;&gt;""),C21-B21,"")</f>
        <v/>
      </c>
    </row>
    <row r="22">
      <c r="A22" s="4" t="inlineStr">
        <is>
          <t>3А-18</t>
        </is>
      </c>
      <c r="B22" s="5" t="n"/>
      <c r="C22" s="5" t="n"/>
      <c r="D22" s="4">
        <f>IF(AND(B22&lt;&gt;"",C22&lt;&gt;""),C22-B22,"")</f>
        <v/>
      </c>
    </row>
    <row r="23">
      <c r="A23" s="4" t="inlineStr">
        <is>
          <t>3А-19</t>
        </is>
      </c>
      <c r="B23" s="5" t="n"/>
      <c r="C23" s="5" t="n"/>
      <c r="D23" s="4">
        <f>IF(AND(B23&lt;&gt;"",C23&lt;&gt;""),C23-B23,"")</f>
        <v/>
      </c>
    </row>
    <row r="24">
      <c r="A24" s="4" t="inlineStr">
        <is>
          <t>3А-20</t>
        </is>
      </c>
      <c r="B24" s="5" t="n"/>
      <c r="C24" s="5" t="n"/>
      <c r="D24" s="4">
        <f>IF(AND(B24&lt;&gt;"",C24&lt;&gt;""),C24-B24,"")</f>
        <v/>
      </c>
    </row>
    <row r="25">
      <c r="A25" s="4" t="inlineStr">
        <is>
          <t>3А-21</t>
        </is>
      </c>
      <c r="B25" s="5" t="n"/>
      <c r="C25" s="5" t="n"/>
      <c r="D25" s="4">
        <f>IF(AND(B25&lt;&gt;"",C25&lt;&gt;""),C25-B25,"")</f>
        <v/>
      </c>
    </row>
    <row r="26">
      <c r="A26" s="4" t="inlineStr">
        <is>
          <t>3А-22</t>
        </is>
      </c>
      <c r="B26" s="5" t="n"/>
      <c r="C26" s="5" t="n"/>
      <c r="D26" s="4">
        <f>IF(AND(B26&lt;&gt;"",C26&lt;&gt;""),C26-B26,"")</f>
        <v/>
      </c>
    </row>
    <row r="27">
      <c r="A27" s="4" t="inlineStr">
        <is>
          <t>3А-23</t>
        </is>
      </c>
      <c r="B27" s="5" t="n"/>
      <c r="C27" s="5" t="n"/>
      <c r="D27" s="4">
        <f>IF(AND(B27&lt;&gt;"",C27&lt;&gt;""),C27-B27,"")</f>
        <v/>
      </c>
    </row>
    <row r="28">
      <c r="A28" s="4" t="inlineStr">
        <is>
          <t>3А-24</t>
        </is>
      </c>
      <c r="B28" s="5" t="n"/>
      <c r="C28" s="5" t="n"/>
      <c r="D28" s="4">
        <f>IF(AND(B28&lt;&gt;"",C28&lt;&gt;""),C28-B28,"")</f>
        <v/>
      </c>
    </row>
    <row r="29">
      <c r="A29" s="4" t="inlineStr">
        <is>
          <t>3А-25</t>
        </is>
      </c>
      <c r="B29" s="5" t="n"/>
      <c r="C29" s="5" t="n"/>
      <c r="D29" s="4">
        <f>IF(AND(B29&lt;&gt;"",C29&lt;&gt;""),C29-B29,"")</f>
        <v/>
      </c>
    </row>
    <row r="30">
      <c r="A30" s="4" t="inlineStr">
        <is>
          <t>3А-26</t>
        </is>
      </c>
      <c r="B30" s="5" t="n"/>
      <c r="C30" s="5" t="n"/>
      <c r="D30" s="4">
        <f>IF(AND(B30&lt;&gt;"",C30&lt;&gt;""),C30-B30,"")</f>
        <v/>
      </c>
    </row>
    <row r="31">
      <c r="A31" s="4" t="inlineStr">
        <is>
          <t>3А-27</t>
        </is>
      </c>
      <c r="B31" s="5" t="n"/>
      <c r="C31" s="5" t="n"/>
      <c r="D31" s="4">
        <f>IF(AND(B31&lt;&gt;"",C31&lt;&gt;""),C31-B31,"")</f>
        <v/>
      </c>
    </row>
    <row r="32">
      <c r="A32" s="4" t="inlineStr">
        <is>
          <t>3А-28</t>
        </is>
      </c>
      <c r="B32" s="5" t="n"/>
      <c r="C32" s="5" t="n"/>
      <c r="D32" s="4">
        <f>IF(AND(B32&lt;&gt;"",C32&lt;&gt;""),C32-B32,"")</f>
        <v/>
      </c>
    </row>
    <row r="33">
      <c r="A33" s="4" t="inlineStr">
        <is>
          <t>3А-29</t>
        </is>
      </c>
      <c r="B33" s="5" t="n"/>
      <c r="C33" s="5" t="n"/>
      <c r="D33" s="4">
        <f>IF(AND(B33&lt;&gt;"",C33&lt;&gt;""),C33-B33,"")</f>
        <v/>
      </c>
    </row>
    <row r="34">
      <c r="A34" s="4" t="inlineStr">
        <is>
          <t>3А-30</t>
        </is>
      </c>
      <c r="B34" s="5" t="n"/>
      <c r="C34" s="5" t="n"/>
      <c r="D34" s="4">
        <f>IF(AND(B34&lt;&gt;"",C34&lt;&gt;""),C34-B34,"")</f>
        <v/>
      </c>
    </row>
    <row r="35">
      <c r="A35" s="3" t="inlineStr">
        <is>
          <t>Орташа</t>
        </is>
      </c>
      <c r="B35" s="3">
        <f>IFERROR(ROUND(AVERAGE(B5:B34),1),"")</f>
        <v/>
      </c>
      <c r="C35" s="3">
        <f>IFERROR(ROUND(AVERAGE(C5:C34),1),"")</f>
        <v/>
      </c>
      <c r="D35" s="3">
        <f>IFERROR(ROUND(AVERAGE(D5:D34),1),"")</f>
        <v/>
      </c>
    </row>
    <row r="36">
      <c r="A36" t="inlineStr">
        <is>
          <t>Қатысқандар саны</t>
        </is>
      </c>
      <c r="B36">
        <f>COUNT(B5:B34)</f>
        <v/>
      </c>
      <c r="C36">
        <f>COUNT(C5:C34)</f>
        <v/>
      </c>
    </row>
    <row r="37">
      <c r="A37" t="inlineStr">
        <is>
          <t>Нәтижесі өскендер</t>
        </is>
      </c>
      <c r="D37">
        <f>COUNTIF(D5:D34,"&gt;0")</f>
        <v/>
      </c>
    </row>
    <row r="38">
      <c r="A38" t="inlineStr">
        <is>
          <t>Өзгермегендер</t>
        </is>
      </c>
      <c r="D38">
        <f>COUNTIF(D5:D34,0)</f>
        <v/>
      </c>
    </row>
    <row r="39">
      <c r="A39" t="inlineStr">
        <is>
          <t>Төмендегендер</t>
        </is>
      </c>
      <c r="D39">
        <f>COUNTIF(D5:D34,"&lt;0")</f>
        <v/>
      </c>
    </row>
  </sheetData>
  <dataValidations count="1">
    <dataValidation sqref="B5 B6 B7 B8 B9 B10 B11 B12 B13 B14 B15 B16 B17 B18 B19 B20 B21 B22 B23 B24 B25 B26 B27 B28 B29 B30 B31 B32 B33 B34 C5 C6 C7 C8 C9 C10 C11 C12 C13 C14 C15 C16 C17 C18 C19 C20 C21 C22 C23 C24 C25 C26 C27 C28 C29 C30 C31 C32 C33 C34" showDropDown="0" showInputMessage="0" showErrorMessage="1" allowBlank="0" error="0-ден 10-ға дейінгі сан жазыңыз" type="whole" operator="between">
      <formula1>0</formula1>
      <formula2>10</formula2>
    </dataValidation>
  </dataValidation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18" customWidth="1" min="1" max="1"/>
  </cols>
  <sheetData>
    <row r="1">
      <c r="A1" s="1" t="inlineStr">
        <is>
          <t>Деңгейлер бойынша нәтижелер</t>
        </is>
      </c>
    </row>
    <row r="2">
      <c r="A2" t="inlineStr">
        <is>
          <t>Әр ойыншының әр деңгейдегі қате саны («Нәтижелер» бетіндегі CSV-дан: түрі = деңгей).</t>
        </is>
      </c>
    </row>
    <row r="4">
      <c r="A4" s="2" t="inlineStr">
        <is>
          <t>Оқушы коды</t>
        </is>
      </c>
      <c r="B4" s="2" t="inlineStr">
        <is>
          <t>1-деңгей</t>
        </is>
      </c>
      <c r="C4" s="2" t="inlineStr">
        <is>
          <t>2-деңгей</t>
        </is>
      </c>
      <c r="D4" s="2" t="inlineStr">
        <is>
          <t>3-деңгей</t>
        </is>
      </c>
      <c r="E4" s="2" t="inlineStr">
        <is>
          <t>4-деңгей</t>
        </is>
      </c>
      <c r="F4" s="2" t="inlineStr">
        <is>
          <t>5-деңгей</t>
        </is>
      </c>
    </row>
    <row r="5">
      <c r="A5" s="4" t="inlineStr">
        <is>
          <t>3А-01</t>
        </is>
      </c>
      <c r="B5" s="5" t="n"/>
      <c r="C5" s="5" t="n"/>
      <c r="D5" s="5" t="n"/>
      <c r="E5" s="5" t="n"/>
      <c r="F5" s="5" t="n"/>
    </row>
    <row r="6">
      <c r="A6" s="4" t="inlineStr">
        <is>
          <t>3А-02</t>
        </is>
      </c>
      <c r="B6" s="5" t="n"/>
      <c r="C6" s="5" t="n"/>
      <c r="D6" s="5" t="n"/>
      <c r="E6" s="5" t="n"/>
      <c r="F6" s="5" t="n"/>
    </row>
    <row r="7">
      <c r="A7" s="4" t="inlineStr">
        <is>
          <t>3А-03</t>
        </is>
      </c>
      <c r="B7" s="5" t="n"/>
      <c r="C7" s="5" t="n"/>
      <c r="D7" s="5" t="n"/>
      <c r="E7" s="5" t="n"/>
      <c r="F7" s="5" t="n"/>
    </row>
    <row r="8">
      <c r="A8" s="4" t="inlineStr">
        <is>
          <t>3А-04</t>
        </is>
      </c>
      <c r="B8" s="5" t="n"/>
      <c r="C8" s="5" t="n"/>
      <c r="D8" s="5" t="n"/>
      <c r="E8" s="5" t="n"/>
      <c r="F8" s="5" t="n"/>
    </row>
    <row r="9">
      <c r="A9" s="4" t="inlineStr">
        <is>
          <t>3А-05</t>
        </is>
      </c>
      <c r="B9" s="5" t="n"/>
      <c r="C9" s="5" t="n"/>
      <c r="D9" s="5" t="n"/>
      <c r="E9" s="5" t="n"/>
      <c r="F9" s="5" t="n"/>
    </row>
    <row r="10">
      <c r="A10" s="4" t="inlineStr">
        <is>
          <t>3А-06</t>
        </is>
      </c>
      <c r="B10" s="5" t="n"/>
      <c r="C10" s="5" t="n"/>
      <c r="D10" s="5" t="n"/>
      <c r="E10" s="5" t="n"/>
      <c r="F10" s="5" t="n"/>
    </row>
    <row r="11">
      <c r="A11" s="4" t="inlineStr">
        <is>
          <t>3А-07</t>
        </is>
      </c>
      <c r="B11" s="5" t="n"/>
      <c r="C11" s="5" t="n"/>
      <c r="D11" s="5" t="n"/>
      <c r="E11" s="5" t="n"/>
      <c r="F11" s="5" t="n"/>
    </row>
    <row r="12">
      <c r="A12" s="4" t="inlineStr">
        <is>
          <t>3А-08</t>
        </is>
      </c>
      <c r="B12" s="5" t="n"/>
      <c r="C12" s="5" t="n"/>
      <c r="D12" s="5" t="n"/>
      <c r="E12" s="5" t="n"/>
      <c r="F12" s="5" t="n"/>
    </row>
    <row r="13">
      <c r="A13" s="4" t="inlineStr">
        <is>
          <t>3А-09</t>
        </is>
      </c>
      <c r="B13" s="5" t="n"/>
      <c r="C13" s="5" t="n"/>
      <c r="D13" s="5" t="n"/>
      <c r="E13" s="5" t="n"/>
      <c r="F13" s="5" t="n"/>
    </row>
    <row r="14">
      <c r="A14" s="4" t="inlineStr">
        <is>
          <t>3А-10</t>
        </is>
      </c>
      <c r="B14" s="5" t="n"/>
      <c r="C14" s="5" t="n"/>
      <c r="D14" s="5" t="n"/>
      <c r="E14" s="5" t="n"/>
      <c r="F14" s="5" t="n"/>
    </row>
    <row r="15">
      <c r="A15" s="4" t="inlineStr">
        <is>
          <t>3А-11</t>
        </is>
      </c>
      <c r="B15" s="5" t="n"/>
      <c r="C15" s="5" t="n"/>
      <c r="D15" s="5" t="n"/>
      <c r="E15" s="5" t="n"/>
      <c r="F15" s="5" t="n"/>
    </row>
    <row r="16">
      <c r="A16" s="4" t="inlineStr">
        <is>
          <t>3А-12</t>
        </is>
      </c>
      <c r="B16" s="5" t="n"/>
      <c r="C16" s="5" t="n"/>
      <c r="D16" s="5" t="n"/>
      <c r="E16" s="5" t="n"/>
      <c r="F16" s="5" t="n"/>
    </row>
    <row r="17">
      <c r="A17" s="4" t="inlineStr">
        <is>
          <t>3А-13</t>
        </is>
      </c>
      <c r="B17" s="5" t="n"/>
      <c r="C17" s="5" t="n"/>
      <c r="D17" s="5" t="n"/>
      <c r="E17" s="5" t="n"/>
      <c r="F17" s="5" t="n"/>
    </row>
    <row r="18">
      <c r="A18" s="4" t="inlineStr">
        <is>
          <t>3А-14</t>
        </is>
      </c>
      <c r="B18" s="5" t="n"/>
      <c r="C18" s="5" t="n"/>
      <c r="D18" s="5" t="n"/>
      <c r="E18" s="5" t="n"/>
      <c r="F18" s="5" t="n"/>
    </row>
    <row r="19">
      <c r="A19" s="4" t="inlineStr">
        <is>
          <t>3А-15</t>
        </is>
      </c>
      <c r="B19" s="5" t="n"/>
      <c r="C19" s="5" t="n"/>
      <c r="D19" s="5" t="n"/>
      <c r="E19" s="5" t="n"/>
      <c r="F19" s="5" t="n"/>
    </row>
    <row r="20">
      <c r="A20" s="4" t="inlineStr">
        <is>
          <t>3А-16</t>
        </is>
      </c>
      <c r="B20" s="5" t="n"/>
      <c r="C20" s="5" t="n"/>
      <c r="D20" s="5" t="n"/>
      <c r="E20" s="5" t="n"/>
      <c r="F20" s="5" t="n"/>
    </row>
    <row r="21">
      <c r="A21" s="4" t="inlineStr">
        <is>
          <t>3А-17</t>
        </is>
      </c>
      <c r="B21" s="5" t="n"/>
      <c r="C21" s="5" t="n"/>
      <c r="D21" s="5" t="n"/>
      <c r="E21" s="5" t="n"/>
      <c r="F21" s="5" t="n"/>
    </row>
    <row r="22">
      <c r="A22" s="4" t="inlineStr">
        <is>
          <t>3А-18</t>
        </is>
      </c>
      <c r="B22" s="5" t="n"/>
      <c r="C22" s="5" t="n"/>
      <c r="D22" s="5" t="n"/>
      <c r="E22" s="5" t="n"/>
      <c r="F22" s="5" t="n"/>
    </row>
    <row r="23">
      <c r="A23" s="4" t="inlineStr">
        <is>
          <t>3А-19</t>
        </is>
      </c>
      <c r="B23" s="5" t="n"/>
      <c r="C23" s="5" t="n"/>
      <c r="D23" s="5" t="n"/>
      <c r="E23" s="5" t="n"/>
      <c r="F23" s="5" t="n"/>
    </row>
    <row r="24">
      <c r="A24" s="4" t="inlineStr">
        <is>
          <t>3А-20</t>
        </is>
      </c>
      <c r="B24" s="5" t="n"/>
      <c r="C24" s="5" t="n"/>
      <c r="D24" s="5" t="n"/>
      <c r="E24" s="5" t="n"/>
      <c r="F24" s="5" t="n"/>
    </row>
    <row r="25">
      <c r="A25" s="4" t="inlineStr">
        <is>
          <t>3А-21</t>
        </is>
      </c>
      <c r="B25" s="5" t="n"/>
      <c r="C25" s="5" t="n"/>
      <c r="D25" s="5" t="n"/>
      <c r="E25" s="5" t="n"/>
      <c r="F25" s="5" t="n"/>
    </row>
    <row r="26">
      <c r="A26" s="4" t="inlineStr">
        <is>
          <t>3А-22</t>
        </is>
      </c>
      <c r="B26" s="5" t="n"/>
      <c r="C26" s="5" t="n"/>
      <c r="D26" s="5" t="n"/>
      <c r="E26" s="5" t="n"/>
      <c r="F26" s="5" t="n"/>
    </row>
    <row r="27">
      <c r="A27" s="4" t="inlineStr">
        <is>
          <t>3А-23</t>
        </is>
      </c>
      <c r="B27" s="5" t="n"/>
      <c r="C27" s="5" t="n"/>
      <c r="D27" s="5" t="n"/>
      <c r="E27" s="5" t="n"/>
      <c r="F27" s="5" t="n"/>
    </row>
    <row r="28">
      <c r="A28" s="4" t="inlineStr">
        <is>
          <t>3А-24</t>
        </is>
      </c>
      <c r="B28" s="5" t="n"/>
      <c r="C28" s="5" t="n"/>
      <c r="D28" s="5" t="n"/>
      <c r="E28" s="5" t="n"/>
      <c r="F28" s="5" t="n"/>
    </row>
    <row r="29">
      <c r="A29" s="4" t="inlineStr">
        <is>
          <t>3А-25</t>
        </is>
      </c>
      <c r="B29" s="5" t="n"/>
      <c r="C29" s="5" t="n"/>
      <c r="D29" s="5" t="n"/>
      <c r="E29" s="5" t="n"/>
      <c r="F29" s="5" t="n"/>
    </row>
    <row r="30">
      <c r="A30" s="4" t="inlineStr">
        <is>
          <t>3А-26</t>
        </is>
      </c>
      <c r="B30" s="5" t="n"/>
      <c r="C30" s="5" t="n"/>
      <c r="D30" s="5" t="n"/>
      <c r="E30" s="5" t="n"/>
      <c r="F30" s="5" t="n"/>
    </row>
    <row r="31">
      <c r="A31" s="4" t="inlineStr">
        <is>
          <t>3А-27</t>
        </is>
      </c>
      <c r="B31" s="5" t="n"/>
      <c r="C31" s="5" t="n"/>
      <c r="D31" s="5" t="n"/>
      <c r="E31" s="5" t="n"/>
      <c r="F31" s="5" t="n"/>
    </row>
    <row r="32">
      <c r="A32" s="4" t="inlineStr">
        <is>
          <t>3А-28</t>
        </is>
      </c>
      <c r="B32" s="5" t="n"/>
      <c r="C32" s="5" t="n"/>
      <c r="D32" s="5" t="n"/>
      <c r="E32" s="5" t="n"/>
      <c r="F32" s="5" t="n"/>
    </row>
    <row r="33">
      <c r="A33" s="4" t="inlineStr">
        <is>
          <t>3А-29</t>
        </is>
      </c>
      <c r="B33" s="5" t="n"/>
      <c r="C33" s="5" t="n"/>
      <c r="D33" s="5" t="n"/>
      <c r="E33" s="5" t="n"/>
      <c r="F33" s="5" t="n"/>
    </row>
    <row r="34">
      <c r="A34" s="4" t="inlineStr">
        <is>
          <t>3А-30</t>
        </is>
      </c>
      <c r="B34" s="5" t="n"/>
      <c r="C34" s="5" t="n"/>
      <c r="D34" s="5" t="n"/>
      <c r="E34" s="5" t="n"/>
      <c r="F34" s="5" t="n"/>
    </row>
    <row r="35">
      <c r="A35" s="3" t="inlineStr">
        <is>
          <t>Орташа қате</t>
        </is>
      </c>
      <c r="B35" s="3">
        <f>IFERROR(ROUND(AVERAGE(B5:B34),1),0)</f>
        <v/>
      </c>
      <c r="C35" s="3">
        <f>IFERROR(ROUND(AVERAGE(C5:C34),1),0)</f>
        <v/>
      </c>
      <c r="D35" s="3">
        <f>IFERROR(ROUND(AVERAGE(D5:D34),1),0)</f>
        <v/>
      </c>
      <c r="E35" s="3">
        <f>IFERROR(ROUND(AVERAGE(E5:E34),1),0)</f>
        <v/>
      </c>
      <c r="F35" s="3">
        <f>IFERROR(ROUND(AVERAGE(F5:F34),1),0)</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52" customWidth="1" min="1" max="1"/>
  </cols>
  <sheetData>
    <row r="1">
      <c r="A1" s="1" t="inlineStr">
        <is>
          <t>Сауалнама (Иә / Аздап / Жоқ)</t>
        </is>
      </c>
    </row>
    <row r="3">
      <c r="A3" s="2" t="inlineStr">
        <is>
          <t>Оқушы коды</t>
        </is>
      </c>
      <c r="B3" s="2" t="inlineStr">
        <is>
          <t>1-сұрақ</t>
        </is>
      </c>
      <c r="C3" s="2" t="inlineStr">
        <is>
          <t>2-сұрақ</t>
        </is>
      </c>
      <c r="D3" s="2" t="inlineStr">
        <is>
          <t>3-сұрақ</t>
        </is>
      </c>
    </row>
    <row r="4">
      <c r="A4" t="inlineStr">
        <is>
          <t>3А-01</t>
        </is>
      </c>
      <c r="B4" s="6" t="n"/>
      <c r="C4" s="6" t="n"/>
      <c r="D4" s="6" t="n"/>
    </row>
    <row r="5">
      <c r="A5" t="inlineStr">
        <is>
          <t>3А-02</t>
        </is>
      </c>
      <c r="B5" s="6" t="n"/>
      <c r="C5" s="6" t="n"/>
      <c r="D5" s="6" t="n"/>
    </row>
    <row r="6">
      <c r="A6" t="inlineStr">
        <is>
          <t>3А-03</t>
        </is>
      </c>
      <c r="B6" s="6" t="n"/>
      <c r="C6" s="6" t="n"/>
      <c r="D6" s="6" t="n"/>
    </row>
    <row r="7">
      <c r="A7" t="inlineStr">
        <is>
          <t>3А-04</t>
        </is>
      </c>
      <c r="B7" s="6" t="n"/>
      <c r="C7" s="6" t="n"/>
      <c r="D7" s="6" t="n"/>
    </row>
    <row r="8">
      <c r="A8" t="inlineStr">
        <is>
          <t>3А-05</t>
        </is>
      </c>
      <c r="B8" s="6" t="n"/>
      <c r="C8" s="6" t="n"/>
      <c r="D8" s="6" t="n"/>
    </row>
    <row r="9">
      <c r="A9" t="inlineStr">
        <is>
          <t>3А-06</t>
        </is>
      </c>
      <c r="B9" s="6" t="n"/>
      <c r="C9" s="6" t="n"/>
      <c r="D9" s="6" t="n"/>
    </row>
    <row r="10">
      <c r="A10" t="inlineStr">
        <is>
          <t>3А-07</t>
        </is>
      </c>
      <c r="B10" s="6" t="n"/>
      <c r="C10" s="6" t="n"/>
      <c r="D10" s="6" t="n"/>
    </row>
    <row r="11">
      <c r="A11" t="inlineStr">
        <is>
          <t>3А-08</t>
        </is>
      </c>
      <c r="B11" s="6" t="n"/>
      <c r="C11" s="6" t="n"/>
      <c r="D11" s="6" t="n"/>
    </row>
    <row r="12">
      <c r="A12" t="inlineStr">
        <is>
          <t>3А-09</t>
        </is>
      </c>
      <c r="B12" s="6" t="n"/>
      <c r="C12" s="6" t="n"/>
      <c r="D12" s="6" t="n"/>
    </row>
    <row r="13">
      <c r="A13" t="inlineStr">
        <is>
          <t>3А-10</t>
        </is>
      </c>
      <c r="B13" s="6" t="n"/>
      <c r="C13" s="6" t="n"/>
      <c r="D13" s="6" t="n"/>
    </row>
    <row r="14">
      <c r="A14" t="inlineStr">
        <is>
          <t>3А-11</t>
        </is>
      </c>
      <c r="B14" s="6" t="n"/>
      <c r="C14" s="6" t="n"/>
      <c r="D14" s="6" t="n"/>
    </row>
    <row r="15">
      <c r="A15" t="inlineStr">
        <is>
          <t>3А-12</t>
        </is>
      </c>
      <c r="B15" s="6" t="n"/>
      <c r="C15" s="6" t="n"/>
      <c r="D15" s="6" t="n"/>
    </row>
    <row r="16">
      <c r="A16" t="inlineStr">
        <is>
          <t>3А-13</t>
        </is>
      </c>
      <c r="B16" s="6" t="n"/>
      <c r="C16" s="6" t="n"/>
      <c r="D16" s="6" t="n"/>
    </row>
    <row r="17">
      <c r="A17" t="inlineStr">
        <is>
          <t>3А-14</t>
        </is>
      </c>
      <c r="B17" s="6" t="n"/>
      <c r="C17" s="6" t="n"/>
      <c r="D17" s="6" t="n"/>
    </row>
    <row r="18">
      <c r="A18" t="inlineStr">
        <is>
          <t>3А-15</t>
        </is>
      </c>
      <c r="B18" s="6" t="n"/>
      <c r="C18" s="6" t="n"/>
      <c r="D18" s="6" t="n"/>
    </row>
    <row r="19">
      <c r="A19" t="inlineStr">
        <is>
          <t>3А-16</t>
        </is>
      </c>
      <c r="B19" s="6" t="n"/>
      <c r="C19" s="6" t="n"/>
      <c r="D19" s="6" t="n"/>
    </row>
    <row r="20">
      <c r="A20" t="inlineStr">
        <is>
          <t>3А-17</t>
        </is>
      </c>
      <c r="B20" s="6" t="n"/>
      <c r="C20" s="6" t="n"/>
      <c r="D20" s="6" t="n"/>
    </row>
    <row r="21">
      <c r="A21" t="inlineStr">
        <is>
          <t>3А-18</t>
        </is>
      </c>
      <c r="B21" s="6" t="n"/>
      <c r="C21" s="6" t="n"/>
      <c r="D21" s="6" t="n"/>
    </row>
    <row r="22">
      <c r="A22" t="inlineStr">
        <is>
          <t>3А-19</t>
        </is>
      </c>
      <c r="B22" s="6" t="n"/>
      <c r="C22" s="6" t="n"/>
      <c r="D22" s="6" t="n"/>
    </row>
    <row r="23">
      <c r="A23" t="inlineStr">
        <is>
          <t>3А-20</t>
        </is>
      </c>
      <c r="B23" s="6" t="n"/>
      <c r="C23" s="6" t="n"/>
      <c r="D23" s="6" t="n"/>
    </row>
    <row r="24">
      <c r="A24" t="inlineStr">
        <is>
          <t>3А-21</t>
        </is>
      </c>
      <c r="B24" s="6" t="n"/>
      <c r="C24" s="6" t="n"/>
      <c r="D24" s="6" t="n"/>
    </row>
    <row r="25">
      <c r="A25" t="inlineStr">
        <is>
          <t>3А-22</t>
        </is>
      </c>
      <c r="B25" s="6" t="n"/>
      <c r="C25" s="6" t="n"/>
      <c r="D25" s="6" t="n"/>
    </row>
    <row r="26">
      <c r="A26" t="inlineStr">
        <is>
          <t>3А-23</t>
        </is>
      </c>
      <c r="B26" s="6" t="n"/>
      <c r="C26" s="6" t="n"/>
      <c r="D26" s="6" t="n"/>
    </row>
    <row r="27">
      <c r="A27" t="inlineStr">
        <is>
          <t>3А-24</t>
        </is>
      </c>
      <c r="B27" s="6" t="n"/>
      <c r="C27" s="6" t="n"/>
      <c r="D27" s="6" t="n"/>
    </row>
    <row r="28">
      <c r="A28" t="inlineStr">
        <is>
          <t>3А-25</t>
        </is>
      </c>
      <c r="B28" s="6" t="n"/>
      <c r="C28" s="6" t="n"/>
      <c r="D28" s="6" t="n"/>
    </row>
    <row r="29">
      <c r="A29" t="inlineStr">
        <is>
          <t>3А-26</t>
        </is>
      </c>
      <c r="B29" s="6" t="n"/>
      <c r="C29" s="6" t="n"/>
      <c r="D29" s="6" t="n"/>
    </row>
    <row r="30">
      <c r="A30" t="inlineStr">
        <is>
          <t>3А-27</t>
        </is>
      </c>
      <c r="B30" s="6" t="n"/>
      <c r="C30" s="6" t="n"/>
      <c r="D30" s="6" t="n"/>
    </row>
    <row r="31">
      <c r="A31" t="inlineStr">
        <is>
          <t>3А-28</t>
        </is>
      </c>
      <c r="B31" s="6" t="n"/>
      <c r="C31" s="6" t="n"/>
      <c r="D31" s="6" t="n"/>
    </row>
    <row r="32">
      <c r="A32" t="inlineStr">
        <is>
          <t>3А-29</t>
        </is>
      </c>
      <c r="B32" s="6" t="n"/>
      <c r="C32" s="6" t="n"/>
      <c r="D32" s="6" t="n"/>
    </row>
    <row r="33">
      <c r="A33" t="inlineStr">
        <is>
          <t>3А-30</t>
        </is>
      </c>
      <c r="B33" s="6" t="n"/>
      <c r="C33" s="6" t="n"/>
      <c r="D33" s="6" t="n"/>
    </row>
    <row r="35">
      <c r="A35" s="2" t="inlineStr">
        <is>
          <t>Сұрақ</t>
        </is>
      </c>
      <c r="B35" s="2" t="inlineStr">
        <is>
          <t>Иә</t>
        </is>
      </c>
      <c r="C35" s="2" t="inlineStr">
        <is>
          <t>Аздап</t>
        </is>
      </c>
      <c r="D35" s="2" t="inlineStr">
        <is>
          <t>Жоқ</t>
        </is>
      </c>
    </row>
    <row r="36">
      <c r="A36" t="inlineStr">
        <is>
          <t>Ойын саған ұнады ма?</t>
        </is>
      </c>
      <c r="B36">
        <f>COUNTIF(B4:B33,"Иә")</f>
        <v/>
      </c>
      <c r="C36">
        <f>COUNTIF(B4:B33,"Аздап")</f>
        <v/>
      </c>
      <c r="D36">
        <f>COUNTIF(B4:B33,"Жоқ")</f>
        <v/>
      </c>
    </row>
    <row r="37">
      <c r="A37" t="inlineStr">
        <is>
          <t>Ойын арқылы жаңа нәрсе үйрендің бе?</t>
        </is>
      </c>
      <c r="B37">
        <f>COUNTIF(C4:C33,"Иә")</f>
        <v/>
      </c>
      <c r="C37">
        <f>COUNTIF(C4:C33,"Аздап")</f>
        <v/>
      </c>
      <c r="D37">
        <f>COUNTIF(C4:C33,"Жоқ")</f>
        <v/>
      </c>
    </row>
    <row r="38">
      <c r="A38" t="inlineStr">
        <is>
          <t>Қазақ тілі тапсырмаларын осылай тағы орындағың келе ме?</t>
        </is>
      </c>
      <c r="B38">
        <f>COUNTIF(D4:D33,"Иә")</f>
        <v/>
      </c>
      <c r="C38">
        <f>COUNTIF(D4:D33,"Аздап")</f>
        <v/>
      </c>
      <c r="D38">
        <f>COUNTIF(D4:D33,"Жоқ")</f>
        <v/>
      </c>
    </row>
  </sheetData>
  <dataValidations count="1">
    <dataValidation sqref="B4 B5 B6 B7 B8 B9 B10 B11 B12 B13 B14 B15 B16 B17 B18 B19 B20 B21 B22 B23 B24 B25 B26 B27 B28 B29 B30 B31 B32 B33 C4 C5 C6 C7 C8 C9 C10 C11 C12 C13 C14 C15 C16 C17 C18 C19 C20 C21 C22 C23 C24 C25 C26 C27 C28 C29 C30 C31 C32 C33 D4 D5 D6 D7 D8 D9 D10 D11 D12 D13 D14 D15 D16 D17 D18 D19 D20 D21 D22 D23 D24 D25 D26 D27 D28 D29 D30 D31 D32 D33" showDropDown="0" showInputMessage="0" showErrorMessage="0" allowBlank="0" type="list">
      <formula1>"Иә,Аздап,Жоқ"</formula1>
    </dataValidation>
  </dataValidation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2026-09-27T13:22:45Z</dcterms:created>
  <dcterms:modified xsi:type="dcterms:W3CDTF">2026-09-27T13:22:45Z</dcterms:modified>
</cp:coreProperties>
</file>