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30" yWindow="490" windowWidth="18880" windowHeight="8740" activeTab="4"/>
  </bookViews>
  <sheets>
    <sheet name="Нұсқау" sheetId="1" r:id="rId1"/>
    <sheet name="Ойындар" sheetId="2" r:id="rId2"/>
    <sheet name="Шығармалар" sheetId="3" r:id="rId3"/>
    <sheet name="Мәтін талдауы" sheetId="4" r:id="rId4"/>
    <sheet name="Сауалнама" sheetId="5" r:id="rId5"/>
    <sheet name="Қорытынды" sheetId="6" r:id="rId6"/>
  </sheets>
  <calcPr calcId="145621"/>
</workbook>
</file>

<file path=xl/calcChain.xml><?xml version="1.0" encoding="utf-8"?>
<calcChain xmlns="http://schemas.openxmlformats.org/spreadsheetml/2006/main">
  <c r="D47" i="6" l="1"/>
  <c r="C47" i="6"/>
  <c r="B47" i="6"/>
  <c r="D46" i="6"/>
  <c r="C46" i="6"/>
  <c r="B46" i="6"/>
  <c r="D45" i="6"/>
  <c r="C45" i="6"/>
  <c r="B45" i="6"/>
  <c r="D44" i="6"/>
  <c r="C44" i="6"/>
  <c r="B44" i="6"/>
  <c r="D43" i="6"/>
  <c r="C43" i="6"/>
  <c r="B43" i="6"/>
  <c r="D42" i="6"/>
  <c r="C42" i="6"/>
  <c r="B42" i="6"/>
  <c r="D41" i="6"/>
  <c r="C41" i="6"/>
  <c r="B41" i="6"/>
  <c r="D40" i="6"/>
  <c r="C40" i="6"/>
  <c r="B40" i="6"/>
  <c r="D39" i="6"/>
  <c r="C39" i="6"/>
  <c r="B39" i="6"/>
  <c r="D38" i="6"/>
  <c r="C38" i="6"/>
  <c r="B38" i="6"/>
  <c r="D37" i="6"/>
  <c r="C37" i="6"/>
  <c r="B37" i="6"/>
  <c r="D36" i="6"/>
  <c r="C36" i="6"/>
  <c r="B36" i="6"/>
  <c r="B34" i="6"/>
  <c r="C32" i="6"/>
  <c r="B32" i="6"/>
  <c r="C31" i="6"/>
  <c r="B31" i="6"/>
  <c r="C15" i="6"/>
  <c r="B15" i="6"/>
  <c r="C14" i="6"/>
  <c r="B14" i="6"/>
  <c r="C13" i="6"/>
  <c r="B13" i="6"/>
  <c r="C11" i="6"/>
  <c r="B11" i="6"/>
  <c r="C10" i="6"/>
  <c r="B10" i="6"/>
  <c r="C6" i="6"/>
  <c r="B6" i="6"/>
  <c r="C5" i="6"/>
  <c r="B5" i="6"/>
  <c r="F81" i="4"/>
  <c r="C81" i="4"/>
  <c r="F80" i="4"/>
  <c r="C80" i="4"/>
  <c r="F79" i="4"/>
  <c r="C79" i="4"/>
  <c r="F78" i="4"/>
  <c r="C78" i="4"/>
  <c r="F77" i="4"/>
  <c r="C77" i="4"/>
  <c r="F76" i="4"/>
  <c r="C76" i="4"/>
  <c r="F75" i="4"/>
  <c r="C75" i="4"/>
  <c r="F74" i="4"/>
  <c r="C74" i="4"/>
  <c r="F73" i="4"/>
  <c r="C73" i="4"/>
  <c r="F72" i="4"/>
  <c r="C72" i="4"/>
  <c r="F71" i="4"/>
  <c r="C71" i="4"/>
  <c r="F70" i="4"/>
  <c r="C70" i="4"/>
  <c r="F69" i="4"/>
  <c r="C69" i="4"/>
  <c r="F68" i="4"/>
  <c r="C68" i="4"/>
  <c r="F67" i="4"/>
  <c r="C67" i="4"/>
  <c r="F66" i="4"/>
  <c r="C66" i="4"/>
  <c r="F65" i="4"/>
  <c r="C65" i="4"/>
  <c r="F64" i="4"/>
  <c r="C64" i="4"/>
  <c r="F63" i="4"/>
  <c r="C63" i="4"/>
  <c r="F62" i="4"/>
  <c r="C62" i="4"/>
  <c r="F61" i="4"/>
  <c r="C61" i="4"/>
  <c r="F60" i="4"/>
  <c r="C60" i="4"/>
  <c r="F59" i="4"/>
  <c r="C59" i="4"/>
  <c r="F58" i="4"/>
  <c r="C58" i="4"/>
  <c r="F57" i="4"/>
  <c r="C57" i="4"/>
  <c r="F56" i="4"/>
  <c r="C56" i="4"/>
  <c r="F55" i="4"/>
  <c r="C55" i="4"/>
  <c r="F54" i="4"/>
  <c r="C54" i="4"/>
  <c r="F53" i="4"/>
  <c r="C53" i="4"/>
  <c r="F52" i="4"/>
  <c r="C52" i="4"/>
  <c r="F51" i="4"/>
  <c r="C51" i="4"/>
  <c r="F50" i="4"/>
  <c r="C50" i="4"/>
  <c r="F49" i="4"/>
  <c r="C49" i="4"/>
  <c r="F48" i="4"/>
  <c r="C48" i="4"/>
  <c r="F47" i="4"/>
  <c r="C47" i="4"/>
  <c r="F46" i="4"/>
  <c r="C46" i="4"/>
  <c r="F45" i="4"/>
  <c r="C45" i="4"/>
  <c r="F44" i="4"/>
  <c r="C44" i="4"/>
  <c r="F43" i="4"/>
  <c r="C43" i="4"/>
  <c r="F42" i="4"/>
  <c r="C42" i="4"/>
  <c r="F41" i="4"/>
  <c r="C41" i="4"/>
  <c r="F40" i="4"/>
  <c r="C40" i="4"/>
  <c r="F39" i="4"/>
  <c r="C39" i="4"/>
  <c r="F38" i="4"/>
  <c r="C38" i="4"/>
  <c r="F37" i="4"/>
  <c r="C37" i="4"/>
  <c r="F36" i="4"/>
  <c r="C36" i="4"/>
  <c r="F35" i="4"/>
  <c r="C35" i="4"/>
  <c r="F34" i="4"/>
  <c r="C34" i="4"/>
  <c r="F33" i="4"/>
  <c r="C33" i="4"/>
  <c r="F32" i="4"/>
  <c r="C32" i="4"/>
  <c r="F31" i="4"/>
  <c r="C31" i="4"/>
  <c r="F30" i="4"/>
  <c r="C30" i="4"/>
  <c r="F29" i="4"/>
  <c r="C29" i="4"/>
  <c r="F28" i="4"/>
  <c r="C28" i="4"/>
  <c r="F27" i="4"/>
  <c r="C27" i="4"/>
  <c r="F26" i="4"/>
  <c r="C26" i="4"/>
  <c r="F25" i="4"/>
  <c r="C25" i="4"/>
  <c r="F24" i="4"/>
  <c r="C24" i="4"/>
  <c r="F23" i="4"/>
  <c r="C23" i="4"/>
  <c r="F22" i="4"/>
  <c r="C22" i="4"/>
  <c r="F21" i="4"/>
  <c r="C21" i="4"/>
  <c r="F20" i="4"/>
  <c r="C20" i="4"/>
  <c r="F19" i="4"/>
  <c r="C19" i="4"/>
  <c r="F18" i="4"/>
  <c r="C18" i="4"/>
  <c r="F17" i="4"/>
  <c r="C17" i="4"/>
  <c r="F16" i="4"/>
  <c r="C16" i="4"/>
  <c r="F15" i="4"/>
  <c r="C15" i="4"/>
  <c r="F14" i="4"/>
  <c r="C14" i="4"/>
  <c r="F13" i="4"/>
  <c r="C13" i="4"/>
  <c r="F12" i="4"/>
  <c r="C12" i="4"/>
  <c r="F11" i="4"/>
  <c r="C11" i="4"/>
  <c r="F10" i="4"/>
  <c r="C10" i="4"/>
  <c r="F9" i="4"/>
  <c r="C9" i="4"/>
  <c r="F8" i="4"/>
  <c r="C8" i="4"/>
  <c r="F7" i="4"/>
  <c r="C7" i="4"/>
  <c r="F6" i="4"/>
  <c r="C6" i="4"/>
  <c r="F5" i="4"/>
  <c r="C5" i="4"/>
  <c r="F4" i="4"/>
  <c r="C4" i="4"/>
  <c r="F3" i="4"/>
  <c r="C3" i="4"/>
  <c r="C4" i="6" s="1"/>
  <c r="F2" i="4"/>
  <c r="C2" i="4"/>
  <c r="C9" i="6" s="1"/>
  <c r="C7" i="6" l="1"/>
  <c r="C29" i="6"/>
  <c r="B28" i="6"/>
  <c r="C28" i="6"/>
  <c r="D28" i="6" s="1"/>
  <c r="B29" i="6"/>
  <c r="B7" i="6"/>
  <c r="B30" i="6"/>
  <c r="C30" i="6"/>
  <c r="D30" i="6" s="1"/>
  <c r="D31" i="6"/>
  <c r="C8" i="6"/>
  <c r="C12" i="6"/>
  <c r="B3" i="6"/>
  <c r="C3" i="6"/>
  <c r="B4" i="6"/>
  <c r="B8" i="6"/>
  <c r="B12" i="6"/>
  <c r="B9" i="6"/>
  <c r="D9" i="6" s="1"/>
  <c r="D32" i="6"/>
  <c r="D6" i="6"/>
  <c r="C23" i="6"/>
  <c r="D13" i="6"/>
  <c r="D29" i="6"/>
  <c r="D7" i="6"/>
  <c r="D15" i="6"/>
  <c r="D5" i="6"/>
  <c r="D11" i="6"/>
  <c r="D10" i="6"/>
  <c r="D14" i="6"/>
  <c r="B21" i="6"/>
  <c r="C21" i="6"/>
  <c r="B24" i="6"/>
  <c r="C24" i="6"/>
  <c r="B22" i="6"/>
  <c r="C22" i="6"/>
  <c r="B20" i="6"/>
  <c r="C20" i="6"/>
  <c r="B23" i="6"/>
  <c r="D8" i="6" l="1"/>
  <c r="B16" i="6"/>
  <c r="D12" i="6"/>
  <c r="D3" i="6"/>
  <c r="C16" i="6"/>
  <c r="D4" i="6"/>
  <c r="D23" i="6"/>
  <c r="D20" i="6"/>
  <c r="D22" i="6"/>
  <c r="D24" i="6"/>
  <c r="D21" i="6"/>
  <c r="D16" i="6" l="1"/>
</calcChain>
</file>

<file path=xl/sharedStrings.xml><?xml version="1.0" encoding="utf-8"?>
<sst xmlns="http://schemas.openxmlformats.org/spreadsheetml/2006/main" count="307" uniqueCount="193">
  <si>
    <t>ЗЕРТТЕУ КЕСТЕСІН ТОЛТЫРУ НҰСҚАУЫ</t>
  </si>
  <si>
    <t>Сары ұяшықтарды ғана толтырыңыз. «Қорытынды» парағы өздігінен есептеледі.</t>
  </si>
  <si>
    <t>1-КЕЗЕҢ. Мәтін талдауы</t>
  </si>
  <si>
    <t>1. «Шығармалар» парағындағы 15 шығарманы оқыңыз. Қай кітаптан (баспасы, жылы) оқығаныңызды жазып, «Оқылды» бағанына «иә» деп белгілеңіз.</t>
  </si>
  <si>
    <t>2. Шығармада ұлттық ойын кездессе, «Мәтін талдауы» парағына жаңа жол қосыңыз: бір эпизод – бір жол.</t>
  </si>
  <si>
    <t>3. Ойынды тізімнен таңдаңыз. Тізімде жоқ болса, «Басқа» деп таңдап, атауын келесі бағанға жазыңыз.</t>
  </si>
  <si>
    <t>4. Эпизодты 1–2 сөйлеммен өз сөзіңізбен жазыңыз және мәтіннен қысқа үзінді (дәйексөз) мен бетін көрсетіңіз.</t>
  </si>
  <si>
    <t>5. Ойынның сюжеттегі негізгі қызметін бір кодпен белгілеңіз:</t>
  </si>
  <si>
    <t xml:space="preserve">     С – Сынақ: Қаһарман ойын арқылы сыналады: қалыңдық, атақ немесе сенім үшін жарысады</t>
  </si>
  <si>
    <t xml:space="preserve">     Б – Сюжетті бастау: Ойын кезіндегі оқиға кейіпкерді жолға шығарады немесе жаңа оқиғаны бастайды</t>
  </si>
  <si>
    <t xml:space="preserve">     Қ – Қасиетін көрсету: Ойын кейіпкердің күшін, ептілігін, ақылын немесе тапқырлығын көрсетеді</t>
  </si>
  <si>
    <t xml:space="preserve">     Т – Той-думан көрінісі: Ойын той, ас, мереке суретінің бөлігі ретінде сипатталады</t>
  </si>
  <si>
    <t xml:space="preserve">     Ш – Шешуші сәт: Ойынның нәтижесі қақтығысты шешеді немесе кейіпкердің тағдырын өзгертеді</t>
  </si>
  <si>
    <t>6. Ойын тек аталып өтсе де (мысалы, «той болып, бәйге шабылды»), оны жазыңыз – қызметі «Т» болады.</t>
  </si>
  <si>
    <t>2-КЕЗЕҢ. Сауалнама</t>
  </si>
  <si>
    <t>7. Сауалнаманы тек ата-ананың жазбаша келісімі алынған сыныптастар толтырады. Есімдерін жазбаңыз: әр қатысушыға код беріңіз (С01, С02 …).</t>
  </si>
  <si>
    <t>8. Әр ойын бойынша екі сұрақ: «Бұл ойынды білесің бе?» (0 – білмеймін, 1 – естігенмін, 2 – ойнағанмын/көргенмін) және «Ертегіден не жырдан оқыдың ба?» (1 – иә, 0 – жоқ).</t>
  </si>
  <si>
    <t>№</t>
  </si>
  <si>
    <t>Ойын</t>
  </si>
  <si>
    <t>Түрі</t>
  </si>
  <si>
    <t>Қысқаша ережесі</t>
  </si>
  <si>
    <t>Бәйге</t>
  </si>
  <si>
    <t>Ат ойындары</t>
  </si>
  <si>
    <t>Ат жарысы. Аттар белгіленген жерден бірге шығып, мәреге бірінші жеткен ат жеңеді. Ұзақ қашықтыққа шабылатын түрі – аламан бәйге.</t>
  </si>
  <si>
    <t>Көкпар</t>
  </si>
  <si>
    <t>Шабандоздар ат үстінде серкенің немесе ешкінің тұлыбын бір-бірінен тартып алып, межелі жерге жеткізуге тырысады.</t>
  </si>
  <si>
    <t>Қыз қуу</t>
  </si>
  <si>
    <t>Жігіт атпен шауып, қызды қуып жетуі керек. Жете алмаса, кері қайтқанда қыз оны қамшымен қуады.</t>
  </si>
  <si>
    <t>Теңге алу</t>
  </si>
  <si>
    <t>Шабандоз шауып келе жатып, еңкейіп, жерде жатқан теңгені немесе орамалды іліп алады.</t>
  </si>
  <si>
    <t>Аударыспақ</t>
  </si>
  <si>
    <t>Ат үстіндегі екі балуан бір-бірін аттан аударып түсіруге тырысады.</t>
  </si>
  <si>
    <t>Күрес</t>
  </si>
  <si>
    <t>Күш және мергендік ойындары</t>
  </si>
  <si>
    <t>Екі балуан белбеуден ұстап белдеседі. Қарсыласын жауырынымен жерге түсірген жеңеді.</t>
  </si>
  <si>
    <t>Жамбы ату</t>
  </si>
  <si>
    <t>Мерген ат үстінде шауып келе жатып, биік ағашқа ілінген жамбыны (күміс құймасын) садақпен атып түсіреді.</t>
  </si>
  <si>
    <t>Тоғызқұмалақ</t>
  </si>
  <si>
    <t>Зияткерлік және сөз ойындары</t>
  </si>
  <si>
    <t>Екі ойыншы ойнайды. Әрқайсысында 9 отау, әр отауда 9 құмалақтан болады. Құмалақтар отаулар бойынша таратылады, 81-ден көп құмалақ жинаған жеңеді.</t>
  </si>
  <si>
    <t>Жұмбақ айтысу</t>
  </si>
  <si>
    <t>Екі жақ бір-біріне кезекпен жұмбақ айтады. Жұмбақты шеше алмаған жақ жеңіледі.</t>
  </si>
  <si>
    <t>Асық</t>
  </si>
  <si>
    <t>Балалар ойындары</t>
  </si>
  <si>
    <t>Асықтар қатарға тізіліп, ойыншылар оларды сақамен атып ұтып алады. Асықтың төрт жағы бар: алшы, тәйке, бүк, шік.</t>
  </si>
  <si>
    <t>Ақсүйек</t>
  </si>
  <si>
    <t>Айлы түнде ойналады. Ақ сүйекті алысқа лақтырады, екі топ оны іздеп тауып, өз жағына жеткізуге тырысады.</t>
  </si>
  <si>
    <t>Алтыбақан</t>
  </si>
  <si>
    <t>Ойын-сауық</t>
  </si>
  <si>
    <t>Алты ұзын ағаштан құрылған әткеншек. Кешке жастар жиналып, тербеліп, ән айтып, ойын-сауық құрады.</t>
  </si>
  <si>
    <t>Басқа</t>
  </si>
  <si>
    <t>Басқа ойындар</t>
  </si>
  <si>
    <t>Шығарма</t>
  </si>
  <si>
    <t>Жанры</t>
  </si>
  <si>
    <t>Оқылды (иә/жоқ)</t>
  </si>
  <si>
    <t>Ер Төстік</t>
  </si>
  <si>
    <t>Ертегі</t>
  </si>
  <si>
    <t>Керқұла атты Кендебай</t>
  </si>
  <si>
    <t>Алтын сақа</t>
  </si>
  <si>
    <t>Күн астындағы Күнікей қыз</t>
  </si>
  <si>
    <t>Алпамыс батыр</t>
  </si>
  <si>
    <t>Жыр</t>
  </si>
  <si>
    <t>Қобыланды батыр</t>
  </si>
  <si>
    <t>Ер Тарғын</t>
  </si>
  <si>
    <t>Қамбар батыр</t>
  </si>
  <si>
    <t>Қыз Жібек</t>
  </si>
  <si>
    <t>Қозы Көрпеш – Баян сұлу</t>
  </si>
  <si>
    <t>Айман – Шолпан</t>
  </si>
  <si>
    <t>Басқа ойын атауы</t>
  </si>
  <si>
    <t>Ойын түрі</t>
  </si>
  <si>
    <t>Кейіпкер</t>
  </si>
  <si>
    <t>Эпизод (өз сөзіңізбен)</t>
  </si>
  <si>
    <t>Қызметі (код)</t>
  </si>
  <si>
    <t>Дәйексөз (қысқа үзінді)</t>
  </si>
  <si>
    <t>Код</t>
  </si>
  <si>
    <t>Сынып</t>
  </si>
  <si>
    <t>Бәйге: білу (0/1/2)</t>
  </si>
  <si>
    <t>Бәйге: ертегіден (1/0)</t>
  </si>
  <si>
    <t>Көкпар: білу (0/1/2)</t>
  </si>
  <si>
    <t>Көкпар: ертегіден (1/0)</t>
  </si>
  <si>
    <t>Қыз қуу: білу (0/1/2)</t>
  </si>
  <si>
    <t>Қыз қуу: ертегіден (1/0)</t>
  </si>
  <si>
    <t>Теңге алу: білу (0/1/2)</t>
  </si>
  <si>
    <t>Теңге алу: ертегіден (1/0)</t>
  </si>
  <si>
    <t>Аударыспақ: білу (0/1/2)</t>
  </si>
  <si>
    <t>Аударыспақ: ертегіден (1/0)</t>
  </si>
  <si>
    <t>Күрес: білу (0/1/2)</t>
  </si>
  <si>
    <t>Күрес: ертегіден (1/0)</t>
  </si>
  <si>
    <t>Жамбы ату: білу (0/1/2)</t>
  </si>
  <si>
    <t>Жамбы ату: ертегіден (1/0)</t>
  </si>
  <si>
    <t>Тоғызқұмалақ: білу (0/1/2)</t>
  </si>
  <si>
    <t>Тоғызқұмалақ: ертегіден (1/0)</t>
  </si>
  <si>
    <t>Жұмбақ айтысу: білу (0/1/2)</t>
  </si>
  <si>
    <t>Жұмбақ айтысу: ертегіден (1/0)</t>
  </si>
  <si>
    <t>Асық: білу (0/1/2)</t>
  </si>
  <si>
    <t>Асық: ертегіден (1/0)</t>
  </si>
  <si>
    <t>Ақсүйек: білу (0/1/2)</t>
  </si>
  <si>
    <t>Ақсүйек: ертегіден (1/0)</t>
  </si>
  <si>
    <t>Алтыбақан: білу (0/1/2)</t>
  </si>
  <si>
    <t>Алтыбақан: ертегіден (1/0)</t>
  </si>
  <si>
    <t>С01</t>
  </si>
  <si>
    <t>С02</t>
  </si>
  <si>
    <t>С03</t>
  </si>
  <si>
    <t>С04</t>
  </si>
  <si>
    <t>С05</t>
  </si>
  <si>
    <t>С06</t>
  </si>
  <si>
    <t>С07</t>
  </si>
  <si>
    <t>С08</t>
  </si>
  <si>
    <t>С09</t>
  </si>
  <si>
    <t>С10</t>
  </si>
  <si>
    <t>С11</t>
  </si>
  <si>
    <t>С12</t>
  </si>
  <si>
    <t>С13</t>
  </si>
  <si>
    <t>С14</t>
  </si>
  <si>
    <t>С15</t>
  </si>
  <si>
    <t>С16</t>
  </si>
  <si>
    <t>С17</t>
  </si>
  <si>
    <t>С18</t>
  </si>
  <si>
    <t>С19</t>
  </si>
  <si>
    <t>С20</t>
  </si>
  <si>
    <t>С21</t>
  </si>
  <si>
    <t>С22</t>
  </si>
  <si>
    <t>С23</t>
  </si>
  <si>
    <t>С24</t>
  </si>
  <si>
    <t>С25</t>
  </si>
  <si>
    <t>С26</t>
  </si>
  <si>
    <t>С27</t>
  </si>
  <si>
    <t>С28</t>
  </si>
  <si>
    <t>С29</t>
  </si>
  <si>
    <t>С30</t>
  </si>
  <si>
    <t>С31</t>
  </si>
  <si>
    <t>С32</t>
  </si>
  <si>
    <t>С33</t>
  </si>
  <si>
    <t>С34</t>
  </si>
  <si>
    <t>С35</t>
  </si>
  <si>
    <t>С36</t>
  </si>
  <si>
    <t>С37</t>
  </si>
  <si>
    <t>С38</t>
  </si>
  <si>
    <t>С39</t>
  </si>
  <si>
    <t>С40</t>
  </si>
  <si>
    <t>Мәтін талдауы: ойындардың кездесуі</t>
  </si>
  <si>
    <t>Ертегіде</t>
  </si>
  <si>
    <t>Жырда</t>
  </si>
  <si>
    <t>Барлығы</t>
  </si>
  <si>
    <t>Барлық эпизод</t>
  </si>
  <si>
    <t>Ойын түрлері</t>
  </si>
  <si>
    <t>Ойынның сюжеттегі қызметі</t>
  </si>
  <si>
    <t>Қызметі</t>
  </si>
  <si>
    <t>С – Сынақ</t>
  </si>
  <si>
    <t>Б – Сюжетті бастау</t>
  </si>
  <si>
    <t>Қ – Қасиетін көрсету</t>
  </si>
  <si>
    <t>Т – Той-думан көрінісі</t>
  </si>
  <si>
    <t>Ш – Шешуші сәт</t>
  </si>
  <si>
    <t>Сауалнама: қатысушылар саны</t>
  </si>
  <si>
    <t>Біледі, %</t>
  </si>
  <si>
    <t>Ойнаған, %</t>
  </si>
  <si>
    <t>Ертегіден оқыған, %</t>
  </si>
  <si>
    <t xml:space="preserve">Алпамыс бөгелген жоқ, садақты шірене тартып, жамбыны сыңғыр
еткізіп атып түсірді. 
</t>
  </si>
  <si>
    <t>Ұлтан ханға барсам деп,
Жамбыны атып алсам деп,
Көңілі тасып, құлшынды.
Анасымен көрісіп,
Көздің жасын төгісіп,                                         Енді атына мінеді,
Жамбыға қарай жүреді.                           «Диуана да келді!»— деп,
Мазақ қып Ұлтан күледі.
Атайын деп оқталып,
Төсіне садақ тіреді.
Атып тастап жамбыны,
Ұлтанға жетіп келеді.</t>
  </si>
  <si>
    <t>Гүлбаршынның алдына
Көкпар әкеп тастады,
Өңгеріп серке даладан.</t>
  </si>
  <si>
    <t xml:space="preserve">Жәдігер ойлады: «Менің көкпар шабатын заманым болса, өстіп жүрем бе, бұл көкпарды Қарлығаш апама апарып берейін, жігіттерге асып берсін!» — деп, мойнында кісен, аяғында шынжыр, құнан атына сүйретіп ауылға алып барды. </t>
  </si>
  <si>
    <t>Бәйгеден келген кѳк дѳнен,
Түнімен ұйқы кѳрмеген
Қобландыдай батырдың
Тоқтамасын білген соң,
Тайбурылдың үстіне
Алтыннан тұрман ер салып,
Аз ғана азық, жем салып,
Ақ орданың алдынан
Ѳткізді Құртқа кѳлденең</t>
  </si>
  <si>
    <t>Балуан күресі басталады. Таусоғарға балуан шақ келмейді. Жер астының алыптарының бәрі жығылып бітеді. Күресуге кісі шықпаған соң, Таусоғар бір тауды көтеріп алып, жұртқа күшін көрсетеді. Темір хан мен Кеще хан қатты сасып:
     -Тауды біз жаққа қоя көрмесін! - деп Төстікке жалынады.</t>
  </si>
  <si>
    <t xml:space="preserve">Тағы бір күні Төстік асық ойнап жүріп, әлгі кемпірдің жалғыз баласын жұдырығымен қойып жіберсе, бала талып қалады. </t>
  </si>
  <si>
    <t>Бұдан жеңілген соң Темір хан ат шабысына шығады. Өзінің бар жүйрігін бәйгеге қосады. Ер Төстік Шалқұйрықты даярлайды. Қарақшының түбіне келген соң, Шалқұйрыққа тіл бітеді: - Егер атты өте алысқа айдаса, менің шабысым өте жылдам болады. Үш күн шапсам, бүйірім қызып, өзімді тоқтатуға шамам келмей, кетіп қалуым мүмкін. Мен келе жатқанда алдымнан арқан керіп қой. Арқан үш қабат болсын, бір қабаты кендірден болсын. Үш қабат арқанның үшеуі де үзілсе, мен саған жоқпын, ағынымды тоқтата алмай кеткенім, үшеуі де үзілмесе, мен жығылып өлемін, онда да саған жоқпын. Егер арқан жартылай үзілсе, мен тоқтаймын, жығылып қалсам да, жаным қайтадан кіреді, күдер үзбе, - дейді. "Ер Төстіктің жалғыз шолағы бір жерде зарығып өліп қалсын!" - деп, Темір хан атты бір жұмалық жерге айдатады.Бір жеті өткен соң, бәйге аттары қайтып оралады. Темір хан мен Кеще хан балуан және ат бәйгесінен жеңіліп, не қыларын білмей, сасады. "Енді жаяу жарыс салып көрейік", - дейді.</t>
  </si>
  <si>
    <t>Ер Төстік [Мәтін] : қазақтың көне ертегілері (жаңартылған нұсқа) / М. Байбеков О. Байбеков ... – Тараз : Сенім, 2019</t>
  </si>
  <si>
    <t>Сондай күшті болыпты, алысқанын алып ұра беріпті, күрескенін жыға беріпті, шыңырау құдыққа құлаған атандарды жалғыз тартып шығара беріпті.</t>
  </si>
  <si>
    <t>Сонымен бай жалмауыз кемпірге уәдесін беріп, жылқыларын айдап, кетіп қалады. Ертеңінде көшеді, жалғыз баласының алтын сақасын ұмыттырып, жұртқа тастап кетеді. Ауыл жаңа қонысқа көшіп барады. Асық ойнайын десе, сақасы жоқ, бала алтын сақасын жоқтап, жылайды. Жұртқа келсе, алтын сақасы ошақ басындағы тезек түбінде жатыр екен. Сақа жанында бір кемпір отыр екен. Бала кемпірге:
— Шеше, анау жатқан сақамды алып берші! – дейді.
Сонда кемпір:
— Шырағым, өзің түсіп ал. Кәріліктен отырсам -тұра алмаймын, тұрсам - отыра алмаймын, – дейді.</t>
  </si>
  <si>
    <t>Көп қызыққа батысқан, Тай құлындай тебіскен, Асық ойнап алысқан.</t>
  </si>
  <si>
    <t>Жаяу бәйге</t>
  </si>
  <si>
    <t xml:space="preserve">Бірақ, хан сөзінен танып, бұл жолы қызын бермей:
— Енді жаяу бәйгеден озып келгенге беремін, – дейді. Жаяу бәйгеге ханның елінен бір жүйрік мыстан кемпір шығады. </t>
  </si>
  <si>
    <t>Хан ертеңіне, ел-жұртын жиып, балуан күрестіреді. Осы топта кімде-кім күресіп жығып, күші асса, қызымды соған беремін, – дейді. Ханның елі жағынан бір өгіз балуан шығады. Бала жағынан екі қолына екі тау ұстап жүруші дәу шығады. Екі балуан күресіп, дәу жығып кетеді.</t>
  </si>
  <si>
    <t>Кебеже қарын, кең құрсақ,
Құлжа мойын төгерек,
Ұмтыла шапқан Тарланым,
Алты мыңдай кісі екен,
Тіл жіберсең саған серт!
Сен желігіп жүргенде,
Таяна шапса маған серт!
Тауыса шапса бұ жауды,
Сонда бітер Тарлан бәйгесі</t>
  </si>
  <si>
    <t>Қараман шықты қаладан,
Кернейлері бақылдап,
Байрақтар тулап көтерген,
Алтыннан қалқан жарқылдап,
Сыбызғы, сырнай шақылдап,
Мінгендері дәл бедеу,
Келеді бектер дабылдап.
Аударысып ойнайды
Буыршындай тақымдап;</t>
  </si>
  <si>
    <t>Қарабай оны жақсы көріп, жылқы бағуға жұмсайды. Қозы алғашқыда Қодармен әзілдесіп, кейде ойнап, ат үстінен жұлып алып жүреді. Кейде тоқсан құлмен аударыспақ ойнап, оларды тегісімен топырлатып жүреді. Халық ақындары бұл жерде Қозы Көрпешті жойқын алып түрінде суреттеп, оның жеңбейтін адамы жоқ деп сипаттайды.</t>
  </si>
  <si>
    <t>Әкесінен жетім қалған Қозы Көрпеш ақылды анасы мен кемеңгер ағаларының қолында еркін өседі. Бала күнін бірыңғай асық ойнаумен өткізеді.Тазша баланың сақасын тартып алып, оның аузынан: «Менің сақамды тартып алғанша, жарыңды іздеп тапсайшы» деген сөз естиді.</t>
  </si>
  <si>
    <t>Басыбар: Тәйт, жоғал, ондайынды жолымнан ал
былай! Күмілжімей, тек көмейің күлкілдемей сертінде қал
жалтақтамай. Байлауым сол, кәзір бәйгеге ат жөнелтіп қайта
мұнда келемін. Мыжымай қарсы алуға қамдана бер осы
үйде!</t>
  </si>
  <si>
    <t>Айман-Шолпан [Мәтін] : Қазақ эпосы / ; Қазақ ССР Ғылым Академиясы, Тіл және әдебиет институты ; [баспаға даярлаған Ы. Т. Дүйсенбаев]... – Алматы : Қазақ ССР Ғылым Академиясының Баспасы, 1957</t>
  </si>
  <si>
    <t>С</t>
  </si>
  <si>
    <t>Қ</t>
  </si>
  <si>
    <t>Б</t>
  </si>
  <si>
    <t>басылым,сілтеме (кітап, баспа, жылы)</t>
  </si>
  <si>
    <t>https://bilim-all.kz/article/263</t>
  </si>
  <si>
    <t>Алпамыс батыр : эпостың баяны / ... – Астана : Фолиант, 2012.</t>
  </si>
  <si>
    <t>Қобыланды батыр [Мәтін] / ... – Алматы : Mazmundama, 2022</t>
  </si>
  <si>
    <t xml:space="preserve">Ер Тарғын [Мәтін] : батырлар жыры / ... – Астана : Алматыкітап, 2007. </t>
  </si>
  <si>
    <t>https://bilim-all.kz/olen/4898-qambar-batyr</t>
  </si>
  <si>
    <t>Қыз Жібек [Мәтін] : Лиро-эпостық поэма  – Алматы : Мектеп, 2003.</t>
  </si>
  <si>
    <t>Қозы Көрпеш - Баян Сұлу [Мәтін] : лиро-эпостық поэма : М. Ж. Көпейұлы нұсқасы / ... – Алматы : Мектеп, 2006</t>
  </si>
  <si>
    <t>иә</t>
  </si>
  <si>
    <t xml:space="preserve"> кітаптар https://kazneb.kz/ сайтынан оқылды</t>
  </si>
  <si>
    <t xml:space="preserve">https://adebiportal.kz/kz/balaqai/view/kerqula-atty-kendebai__126 </t>
  </si>
  <si>
    <t>Алтын сақа – Алматы, 1972.</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</si>
</sst>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2"/>
      <name val="Calibri"/>
    </font>
    <font>
      <sz val="11"/>
      <name val="Calibri"/>
    </font>
    <font>
      <b/>
      <sz val="11"/>
      <name val="Calibri"/>
    </font>
    <font>
      <u/>
      <sz val="11"/>
      <color theme="10"/>
      <name val="Calibri"/>
      <family val="2"/>
      <scheme val="minor"/>
    </font>
  </fonts>
  <fills count="4">
    <fill>
      <patternFill patternType="none"/>
    </fill>
    <fill>
      <patternFill patternType="gray125"/>
    </fill>
    <fill>
      <patternFill patternType="solid">
        <fgColor rgb="FFDCE6F1"/>
      </patternFill>
    </fill>
    <fill>
      <patternFill patternType="solid">
        <fgColor rgb="FFFFF2CC"/>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2">
    <xf numFmtId="0" fontId="0" fillId="0" borderId="0"/>
    <xf numFmtId="0" fontId="4" fillId="0" borderId="0" applyNumberFormat="0" applyFill="0" applyBorder="0" applyAlignment="0" applyProtection="0"/>
  </cellStyleXfs>
  <cellXfs count="11">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3" borderId="1" xfId="0" applyFill="1" applyBorder="1" applyAlignment="1">
      <alignment horizontal="center" vertical="center" wrapText="1"/>
    </xf>
    <xf numFmtId="0" fontId="3" fillId="0" borderId="0" xfId="0" applyFont="1"/>
    <xf numFmtId="0" fontId="3" fillId="0" borderId="1" xfId="0" applyFont="1" applyBorder="1" applyAlignment="1">
      <alignment vertical="top" wrapText="1"/>
    </xf>
    <xf numFmtId="0" fontId="4" fillId="3" borderId="1" xfId="1" applyFill="1" applyBorder="1" applyAlignment="1">
      <alignment vertical="top" wrapText="1"/>
    </xf>
  </cellXfs>
  <cellStyles count="2">
    <cellStyle name="Гиперссылка" xfId="1" builtinId="8"/>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1"/>
  <c:style val="2"/>
  <c:chart>
    <c:title>
      <c:tx>
        <c:rich>
          <a:bodyPr/>
          <a:lstStyle/>
          <a:p>
            <a:pPr>
              <a:defRPr/>
            </a:pPr>
            <a:r>
              <a:rPr lang="ru-RU"/>
              <a:t>Ойындардың шығармаларда кездесуі</a:t>
            </a:r>
          </a:p>
        </c:rich>
      </c:tx>
      <c:overlay val="1"/>
    </c:title>
    <c:autoTitleDeleted val="0"/>
    <c:plotArea>
      <c:layout/>
      <c:barChart>
        <c:barDir val="bar"/>
        <c:grouping val="stacked"/>
        <c:varyColors val="1"/>
        <c:ser>
          <c:idx val="0"/>
          <c:order val="0"/>
          <c:tx>
            <c:strRef>
              <c:f>Қорытынды!$B$2</c:f>
              <c:strCache>
                <c:ptCount val="1"/>
                <c:pt idx="0">
                  <c:v>Ертегіде</c:v>
                </c:pt>
              </c:strCache>
            </c:strRef>
          </c:tx>
          <c:spPr>
            <a:ln>
              <a:prstDash val="solid"/>
            </a:ln>
          </c:spPr>
          <c:invertIfNegative val="1"/>
          <c:cat>
            <c:strRef>
              <c:f>Қорытынды!$A$3:$A$15</c:f>
              <c:strCache>
                <c:ptCount val="13"/>
                <c:pt idx="0">
                  <c:v>Бәйге</c:v>
                </c:pt>
                <c:pt idx="1">
                  <c:v>Көкпар</c:v>
                </c:pt>
                <c:pt idx="2">
                  <c:v>Қыз қуу</c:v>
                </c:pt>
                <c:pt idx="3">
                  <c:v>Теңге алу</c:v>
                </c:pt>
                <c:pt idx="4">
                  <c:v>Аударыспақ</c:v>
                </c:pt>
                <c:pt idx="5">
                  <c:v>Күрес</c:v>
                </c:pt>
                <c:pt idx="6">
                  <c:v>Жамбы ату</c:v>
                </c:pt>
                <c:pt idx="7">
                  <c:v>Тоғызқұмалақ</c:v>
                </c:pt>
                <c:pt idx="8">
                  <c:v>Жұмбақ айтысу</c:v>
                </c:pt>
                <c:pt idx="9">
                  <c:v>Асық</c:v>
                </c:pt>
                <c:pt idx="10">
                  <c:v>Ақсүйек</c:v>
                </c:pt>
                <c:pt idx="11">
                  <c:v>Алтыбақан</c:v>
                </c:pt>
                <c:pt idx="12">
                  <c:v>Басқа</c:v>
                </c:pt>
              </c:strCache>
            </c:strRef>
          </c:cat>
          <c:val>
            <c:numRef>
              <c:f>Қорытынды!$B$3:$B$15</c:f>
              <c:numCache>
                <c:formatCode>General</c:formatCode>
                <c:ptCount val="13"/>
                <c:pt idx="0">
                  <c:v>1</c:v>
                </c:pt>
                <c:pt idx="1">
                  <c:v>0</c:v>
                </c:pt>
                <c:pt idx="2">
                  <c:v>0</c:v>
                </c:pt>
                <c:pt idx="3">
                  <c:v>0</c:v>
                </c:pt>
                <c:pt idx="4">
                  <c:v>0</c:v>
                </c:pt>
                <c:pt idx="5">
                  <c:v>3</c:v>
                </c:pt>
                <c:pt idx="6">
                  <c:v>0</c:v>
                </c:pt>
                <c:pt idx="7">
                  <c:v>0</c:v>
                </c:pt>
                <c:pt idx="8">
                  <c:v>0</c:v>
                </c:pt>
                <c:pt idx="9">
                  <c:v>2</c:v>
                </c:pt>
                <c:pt idx="10">
                  <c:v>0</c:v>
                </c:pt>
                <c:pt idx="11">
                  <c:v>0</c:v>
                </c:pt>
                <c:pt idx="12">
                  <c:v>0</c:v>
                </c:pt>
              </c:numCache>
            </c:numRef>
          </c:val>
        </c:ser>
        <c:ser>
          <c:idx val="1"/>
          <c:order val="1"/>
          <c:tx>
            <c:strRef>
              <c:f>Қорытынды!$C$2</c:f>
              <c:strCache>
                <c:ptCount val="1"/>
                <c:pt idx="0">
                  <c:v>Жырда</c:v>
                </c:pt>
              </c:strCache>
            </c:strRef>
          </c:tx>
          <c:spPr>
            <a:ln>
              <a:prstDash val="solid"/>
            </a:ln>
          </c:spPr>
          <c:invertIfNegative val="1"/>
          <c:cat>
            <c:strRef>
              <c:f>Қорытынды!$A$3:$A$15</c:f>
              <c:strCache>
                <c:ptCount val="13"/>
                <c:pt idx="0">
                  <c:v>Бәйге</c:v>
                </c:pt>
                <c:pt idx="1">
                  <c:v>Көкпар</c:v>
                </c:pt>
                <c:pt idx="2">
                  <c:v>Қыз қуу</c:v>
                </c:pt>
                <c:pt idx="3">
                  <c:v>Теңге алу</c:v>
                </c:pt>
                <c:pt idx="4">
                  <c:v>Аударыспақ</c:v>
                </c:pt>
                <c:pt idx="5">
                  <c:v>Күрес</c:v>
                </c:pt>
                <c:pt idx="6">
                  <c:v>Жамбы ату</c:v>
                </c:pt>
                <c:pt idx="7">
                  <c:v>Тоғызқұмалақ</c:v>
                </c:pt>
                <c:pt idx="8">
                  <c:v>Жұмбақ айтысу</c:v>
                </c:pt>
                <c:pt idx="9">
                  <c:v>Асық</c:v>
                </c:pt>
                <c:pt idx="10">
                  <c:v>Ақсүйек</c:v>
                </c:pt>
                <c:pt idx="11">
                  <c:v>Алтыбақан</c:v>
                </c:pt>
                <c:pt idx="12">
                  <c:v>Басқа</c:v>
                </c:pt>
              </c:strCache>
            </c:strRef>
          </c:cat>
          <c:val>
            <c:numRef>
              <c:f>Қорытынды!$C$3:$C$15</c:f>
              <c:numCache>
                <c:formatCode>General</c:formatCode>
                <c:ptCount val="13"/>
                <c:pt idx="0">
                  <c:v>3</c:v>
                </c:pt>
                <c:pt idx="1">
                  <c:v>1</c:v>
                </c:pt>
                <c:pt idx="2">
                  <c:v>0</c:v>
                </c:pt>
                <c:pt idx="3">
                  <c:v>0</c:v>
                </c:pt>
                <c:pt idx="4">
                  <c:v>2</c:v>
                </c:pt>
                <c:pt idx="5">
                  <c:v>0</c:v>
                </c:pt>
                <c:pt idx="6">
                  <c:v>1</c:v>
                </c:pt>
                <c:pt idx="7">
                  <c:v>0</c:v>
                </c:pt>
                <c:pt idx="8">
                  <c:v>0</c:v>
                </c:pt>
                <c:pt idx="9">
                  <c:v>2</c:v>
                </c:pt>
                <c:pt idx="10">
                  <c:v>0</c:v>
                </c:pt>
                <c:pt idx="11">
                  <c:v>0</c:v>
                </c:pt>
                <c:pt idx="12">
                  <c:v>0</c:v>
                </c:pt>
              </c:numCache>
            </c:numRef>
          </c:val>
        </c:ser>
        <c:dLbls>
          <c:showLegendKey val="0"/>
          <c:showVal val="0"/>
          <c:showCatName val="0"/>
          <c:showSerName val="0"/>
          <c:showPercent val="0"/>
          <c:showBubbleSize val="0"/>
        </c:dLbls>
        <c:gapWidth val="150"/>
        <c:overlap val="100"/>
        <c:axId val="143462912"/>
        <c:axId val="46534592"/>
      </c:barChart>
      <c:catAx>
        <c:axId val="143462912"/>
        <c:scaling>
          <c:orientation val="minMax"/>
        </c:scaling>
        <c:delete val="1"/>
        <c:axPos val="l"/>
        <c:majorTickMark val="none"/>
        <c:minorTickMark val="none"/>
        <c:tickLblPos val="nextTo"/>
        <c:crossAx val="46534592"/>
        <c:crosses val="autoZero"/>
        <c:auto val="1"/>
        <c:lblAlgn val="ctr"/>
        <c:lblOffset val="100"/>
        <c:noMultiLvlLbl val="1"/>
      </c:catAx>
      <c:valAx>
        <c:axId val="46534592"/>
        <c:scaling>
          <c:orientation val="minMax"/>
        </c:scaling>
        <c:delete val="1"/>
        <c:axPos val="b"/>
        <c:majorGridlines/>
        <c:numFmt formatCode="General" sourceLinked="1"/>
        <c:majorTickMark val="none"/>
        <c:minorTickMark val="none"/>
        <c:tickLblPos val="nextTo"/>
        <c:crossAx val="143462912"/>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1"/>
  <c:style val="2"/>
  <c:chart>
    <c:title>
      <c:tx>
        <c:rich>
          <a:bodyPr/>
          <a:lstStyle/>
          <a:p>
            <a:pPr>
              <a:defRPr/>
            </a:pPr>
            <a:r>
              <a:rPr lang="ru-RU"/>
              <a:t>Ойынның сюжеттегі қызметі</a:t>
            </a:r>
          </a:p>
        </c:rich>
      </c:tx>
      <c:overlay val="1"/>
    </c:title>
    <c:autoTitleDeleted val="0"/>
    <c:plotArea>
      <c:layout/>
      <c:barChart>
        <c:barDir val="col"/>
        <c:grouping val="clustered"/>
        <c:varyColors val="1"/>
        <c:ser>
          <c:idx val="0"/>
          <c:order val="0"/>
          <c:tx>
            <c:strRef>
              <c:f>Қорытынды!$B$27</c:f>
              <c:strCache>
                <c:ptCount val="1"/>
                <c:pt idx="0">
                  <c:v>Ертегіде</c:v>
                </c:pt>
              </c:strCache>
            </c:strRef>
          </c:tx>
          <c:spPr>
            <a:ln>
              <a:prstDash val="solid"/>
            </a:ln>
          </c:spPr>
          <c:invertIfNegative val="1"/>
          <c:cat>
            <c:strRef>
              <c:f>Қорытынды!$A$28:$A$32</c:f>
              <c:strCache>
                <c:ptCount val="5"/>
                <c:pt idx="0">
                  <c:v>С – Сынақ</c:v>
                </c:pt>
                <c:pt idx="1">
                  <c:v>Б – Сюжетті бастау</c:v>
                </c:pt>
                <c:pt idx="2">
                  <c:v>Қ – Қасиетін көрсету</c:v>
                </c:pt>
                <c:pt idx="3">
                  <c:v>Т – Той-думан көрінісі</c:v>
                </c:pt>
                <c:pt idx="4">
                  <c:v>Ш – Шешуші сәт</c:v>
                </c:pt>
              </c:strCache>
            </c:strRef>
          </c:cat>
          <c:val>
            <c:numRef>
              <c:f>Қорытынды!$B$28:$B$32</c:f>
              <c:numCache>
                <c:formatCode>General</c:formatCode>
                <c:ptCount val="5"/>
                <c:pt idx="0">
                  <c:v>3</c:v>
                </c:pt>
                <c:pt idx="1">
                  <c:v>3</c:v>
                </c:pt>
                <c:pt idx="2">
                  <c:v>1</c:v>
                </c:pt>
                <c:pt idx="3">
                  <c:v>0</c:v>
                </c:pt>
                <c:pt idx="4">
                  <c:v>0</c:v>
                </c:pt>
              </c:numCache>
            </c:numRef>
          </c:val>
        </c:ser>
        <c:ser>
          <c:idx val="1"/>
          <c:order val="1"/>
          <c:tx>
            <c:strRef>
              <c:f>Қорытынды!$C$27</c:f>
              <c:strCache>
                <c:ptCount val="1"/>
                <c:pt idx="0">
                  <c:v>Жырда</c:v>
                </c:pt>
              </c:strCache>
            </c:strRef>
          </c:tx>
          <c:spPr>
            <a:ln>
              <a:prstDash val="solid"/>
            </a:ln>
          </c:spPr>
          <c:invertIfNegative val="1"/>
          <c:cat>
            <c:strRef>
              <c:f>Қорытынды!$A$28:$A$32</c:f>
              <c:strCache>
                <c:ptCount val="5"/>
                <c:pt idx="0">
                  <c:v>С – Сынақ</c:v>
                </c:pt>
                <c:pt idx="1">
                  <c:v>Б – Сюжетті бастау</c:v>
                </c:pt>
                <c:pt idx="2">
                  <c:v>Қ – Қасиетін көрсету</c:v>
                </c:pt>
                <c:pt idx="3">
                  <c:v>Т – Той-думан көрінісі</c:v>
                </c:pt>
                <c:pt idx="4">
                  <c:v>Ш – Шешуші сәт</c:v>
                </c:pt>
              </c:strCache>
            </c:strRef>
          </c:cat>
          <c:val>
            <c:numRef>
              <c:f>Қорытынды!$C$28:$C$32</c:f>
              <c:numCache>
                <c:formatCode>General</c:formatCode>
                <c:ptCount val="5"/>
                <c:pt idx="0">
                  <c:v>1</c:v>
                </c:pt>
                <c:pt idx="1">
                  <c:v>3</c:v>
                </c:pt>
                <c:pt idx="2">
                  <c:v>5</c:v>
                </c:pt>
                <c:pt idx="3">
                  <c:v>0</c:v>
                </c:pt>
                <c:pt idx="4">
                  <c:v>0</c:v>
                </c:pt>
              </c:numCache>
            </c:numRef>
          </c:val>
        </c:ser>
        <c:dLbls>
          <c:showLegendKey val="0"/>
          <c:showVal val="0"/>
          <c:showCatName val="0"/>
          <c:showSerName val="0"/>
          <c:showPercent val="0"/>
          <c:showBubbleSize val="0"/>
        </c:dLbls>
        <c:gapWidth val="150"/>
        <c:axId val="143476224"/>
        <c:axId val="46536896"/>
      </c:barChart>
      <c:catAx>
        <c:axId val="143476224"/>
        <c:scaling>
          <c:orientation val="minMax"/>
        </c:scaling>
        <c:delete val="1"/>
        <c:axPos val="b"/>
        <c:majorTickMark val="none"/>
        <c:minorTickMark val="none"/>
        <c:tickLblPos val="nextTo"/>
        <c:crossAx val="46536896"/>
        <c:crosses val="autoZero"/>
        <c:auto val="1"/>
        <c:lblAlgn val="ctr"/>
        <c:lblOffset val="100"/>
        <c:noMultiLvlLbl val="1"/>
      </c:catAx>
      <c:valAx>
        <c:axId val="46536896"/>
        <c:scaling>
          <c:orientation val="minMax"/>
        </c:scaling>
        <c:delete val="1"/>
        <c:axPos val="l"/>
        <c:majorGridlines/>
        <c:numFmt formatCode="General" sourceLinked="1"/>
        <c:majorTickMark val="none"/>
        <c:minorTickMark val="none"/>
        <c:tickLblPos val="nextTo"/>
        <c:crossAx val="143476224"/>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1"/>
  <c:style val="2"/>
  <c:chart>
    <c:title>
      <c:tx>
        <c:rich>
          <a:bodyPr/>
          <a:lstStyle/>
          <a:p>
            <a:pPr>
              <a:defRPr/>
            </a:pPr>
            <a:r>
              <a:rPr lang="ru-RU"/>
              <a:t>Сауалнама: ойындарды білу, %</a:t>
            </a:r>
          </a:p>
        </c:rich>
      </c:tx>
      <c:overlay val="1"/>
    </c:title>
    <c:autoTitleDeleted val="0"/>
    <c:plotArea>
      <c:layout/>
      <c:barChart>
        <c:barDir val="bar"/>
        <c:grouping val="clustered"/>
        <c:varyColors val="1"/>
        <c:ser>
          <c:idx val="0"/>
          <c:order val="0"/>
          <c:tx>
            <c:strRef>
              <c:f>Қорытынды!$B$35</c:f>
              <c:strCache>
                <c:ptCount val="1"/>
                <c:pt idx="0">
                  <c:v>Біледі, %</c:v>
                </c:pt>
              </c:strCache>
            </c:strRef>
          </c:tx>
          <c:spPr>
            <a:ln>
              <a:prstDash val="solid"/>
            </a:ln>
          </c:spPr>
          <c:invertIfNegative val="1"/>
          <c:cat>
            <c:strRef>
              <c:f>Қорытынды!$A$36:$A$47</c:f>
              <c:strCache>
                <c:ptCount val="12"/>
                <c:pt idx="0">
                  <c:v>Бәйге</c:v>
                </c:pt>
                <c:pt idx="1">
                  <c:v>Көкпар</c:v>
                </c:pt>
                <c:pt idx="2">
                  <c:v>Қыз қуу</c:v>
                </c:pt>
                <c:pt idx="3">
                  <c:v>Теңге алу</c:v>
                </c:pt>
                <c:pt idx="4">
                  <c:v>Аударыспақ</c:v>
                </c:pt>
                <c:pt idx="5">
                  <c:v>Күрес</c:v>
                </c:pt>
                <c:pt idx="6">
                  <c:v>Жамбы ату</c:v>
                </c:pt>
                <c:pt idx="7">
                  <c:v>Тоғызқұмалақ</c:v>
                </c:pt>
                <c:pt idx="8">
                  <c:v>Жұмбақ айтысу</c:v>
                </c:pt>
                <c:pt idx="9">
                  <c:v>Асық</c:v>
                </c:pt>
                <c:pt idx="10">
                  <c:v>Ақсүйек</c:v>
                </c:pt>
                <c:pt idx="11">
                  <c:v>Алтыбақан</c:v>
                </c:pt>
              </c:strCache>
            </c:strRef>
          </c:cat>
          <c:val>
            <c:numRef>
              <c:f>Қорытынды!$B$36:$B$47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Қорытынды!$C$35</c:f>
              <c:strCache>
                <c:ptCount val="1"/>
                <c:pt idx="0">
                  <c:v>Ойнаған, %</c:v>
                </c:pt>
              </c:strCache>
            </c:strRef>
          </c:tx>
          <c:spPr>
            <a:ln>
              <a:prstDash val="solid"/>
            </a:ln>
          </c:spPr>
          <c:invertIfNegative val="1"/>
          <c:cat>
            <c:strRef>
              <c:f>Қорытынды!$A$36:$A$47</c:f>
              <c:strCache>
                <c:ptCount val="12"/>
                <c:pt idx="0">
                  <c:v>Бәйге</c:v>
                </c:pt>
                <c:pt idx="1">
                  <c:v>Көкпар</c:v>
                </c:pt>
                <c:pt idx="2">
                  <c:v>Қыз қуу</c:v>
                </c:pt>
                <c:pt idx="3">
                  <c:v>Теңге алу</c:v>
                </c:pt>
                <c:pt idx="4">
                  <c:v>Аударыспақ</c:v>
                </c:pt>
                <c:pt idx="5">
                  <c:v>Күрес</c:v>
                </c:pt>
                <c:pt idx="6">
                  <c:v>Жамбы ату</c:v>
                </c:pt>
                <c:pt idx="7">
                  <c:v>Тоғызқұмалақ</c:v>
                </c:pt>
                <c:pt idx="8">
                  <c:v>Жұмбақ айтысу</c:v>
                </c:pt>
                <c:pt idx="9">
                  <c:v>Асық</c:v>
                </c:pt>
                <c:pt idx="10">
                  <c:v>Ақсүйек</c:v>
                </c:pt>
                <c:pt idx="11">
                  <c:v>Алтыбақан</c:v>
                </c:pt>
              </c:strCache>
            </c:strRef>
          </c:cat>
          <c:val>
            <c:numRef>
              <c:f>Қорытынды!$C$36:$C$47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Қорытынды!$D$35</c:f>
              <c:strCache>
                <c:ptCount val="1"/>
                <c:pt idx="0">
                  <c:v>Ертегіден оқыған, %</c:v>
                </c:pt>
              </c:strCache>
            </c:strRef>
          </c:tx>
          <c:spPr>
            <a:ln>
              <a:prstDash val="solid"/>
            </a:ln>
          </c:spPr>
          <c:invertIfNegative val="1"/>
          <c:cat>
            <c:strRef>
              <c:f>Қорытынды!$A$36:$A$47</c:f>
              <c:strCache>
                <c:ptCount val="12"/>
                <c:pt idx="0">
                  <c:v>Бәйге</c:v>
                </c:pt>
                <c:pt idx="1">
                  <c:v>Көкпар</c:v>
                </c:pt>
                <c:pt idx="2">
                  <c:v>Қыз қуу</c:v>
                </c:pt>
                <c:pt idx="3">
                  <c:v>Теңге алу</c:v>
                </c:pt>
                <c:pt idx="4">
                  <c:v>Аударыспақ</c:v>
                </c:pt>
                <c:pt idx="5">
                  <c:v>Күрес</c:v>
                </c:pt>
                <c:pt idx="6">
                  <c:v>Жамбы ату</c:v>
                </c:pt>
                <c:pt idx="7">
                  <c:v>Тоғызқұмалақ</c:v>
                </c:pt>
                <c:pt idx="8">
                  <c:v>Жұмбақ айтысу</c:v>
                </c:pt>
                <c:pt idx="9">
                  <c:v>Асық</c:v>
                </c:pt>
                <c:pt idx="10">
                  <c:v>Ақсүйек</c:v>
                </c:pt>
                <c:pt idx="11">
                  <c:v>Алтыбақан</c:v>
                </c:pt>
              </c:strCache>
            </c:strRef>
          </c:cat>
          <c:val>
            <c:numRef>
              <c:f>Қорытынды!$D$36:$D$47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43476736"/>
        <c:axId val="71377472"/>
      </c:barChart>
      <c:catAx>
        <c:axId val="143476736"/>
        <c:scaling>
          <c:orientation val="minMax"/>
        </c:scaling>
        <c:delete val="1"/>
        <c:axPos val="l"/>
        <c:majorTickMark val="none"/>
        <c:minorTickMark val="none"/>
        <c:tickLblPos val="nextTo"/>
        <c:crossAx val="71377472"/>
        <c:crosses val="autoZero"/>
        <c:auto val="1"/>
        <c:lblAlgn val="ctr"/>
        <c:lblOffset val="100"/>
        <c:noMultiLvlLbl val="1"/>
      </c:catAx>
      <c:valAx>
        <c:axId val="71377472"/>
        <c:scaling>
          <c:orientation val="minMax"/>
        </c:scaling>
        <c:delete val="1"/>
        <c:axPos val="b"/>
        <c:majorGridlines/>
        <c:numFmt formatCode="General" sourceLinked="1"/>
        <c:majorTickMark val="none"/>
        <c:minorTickMark val="none"/>
        <c:tickLblPos val="nextTo"/>
        <c:crossAx val="143476736"/>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0</xdr:colOff>
      <xdr:row>0</xdr:row>
      <xdr:rowOff>0</xdr:rowOff>
    </xdr:from>
    <xdr:ext cx="5760000" cy="3240000"/>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19</xdr:row>
      <xdr:rowOff>0</xdr:rowOff>
    </xdr:from>
    <xdr:ext cx="5760000" cy="2880000"/>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7</xdr:col>
      <xdr:colOff>0</xdr:colOff>
      <xdr:row>36</xdr:row>
      <xdr:rowOff>0</xdr:rowOff>
    </xdr:from>
    <xdr:ext cx="5760000" cy="3960000"/>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bilim-all.kz/olen/4898-qambar-batyr" TargetMode="External"/><Relationship Id="rId2" Type="http://schemas.openxmlformats.org/officeDocument/2006/relationships/hyperlink" Target="https://bilim-all.kz/article/263" TargetMode="External"/><Relationship Id="rId1" Type="http://schemas.openxmlformats.org/officeDocument/2006/relationships/hyperlink" Target="https://adebiportal.kz/kz/balaqai/view/kerqula-atty-kendebai__126"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19"/>
  <sheetViews>
    <sheetView topLeftCell="A2" workbookViewId="0">
      <selection activeCell="C10" sqref="C10"/>
    </sheetView>
  </sheetViews>
  <sheetFormatPr defaultRowHeight="14.5" x14ac:dyDescent="0.35"/>
  <cols>
    <col min="1" max="1" width="115" customWidth="1"/>
  </cols>
  <sheetData>
    <row r="1" spans="1:1" ht="15.5" x14ac:dyDescent="0.35">
      <c r="A1" s="1" t="s">
        <v>0</v>
      </c>
    </row>
    <row r="2" spans="1:1" x14ac:dyDescent="0.35">
      <c r="A2" s="2" t="s">
        <v>1</v>
      </c>
    </row>
    <row r="3" spans="1:1" x14ac:dyDescent="0.35">
      <c r="A3" s="2"/>
    </row>
    <row r="4" spans="1:1" ht="15.5" x14ac:dyDescent="0.35">
      <c r="A4" s="1" t="s">
        <v>2</v>
      </c>
    </row>
    <row r="5" spans="1:1" ht="29" x14ac:dyDescent="0.35">
      <c r="A5" s="2" t="s">
        <v>3</v>
      </c>
    </row>
    <row r="6" spans="1:1" x14ac:dyDescent="0.35">
      <c r="A6" s="2" t="s">
        <v>4</v>
      </c>
    </row>
    <row r="7" spans="1:1" x14ac:dyDescent="0.35">
      <c r="A7" s="2" t="s">
        <v>5</v>
      </c>
    </row>
    <row r="8" spans="1:1" x14ac:dyDescent="0.35">
      <c r="A8" s="2" t="s">
        <v>6</v>
      </c>
    </row>
    <row r="9" spans="1:1" x14ac:dyDescent="0.35">
      <c r="A9" s="2" t="s">
        <v>7</v>
      </c>
    </row>
    <row r="10" spans="1:1" x14ac:dyDescent="0.35">
      <c r="A10" s="2" t="s">
        <v>8</v>
      </c>
    </row>
    <row r="11" spans="1:1" x14ac:dyDescent="0.35">
      <c r="A11" s="2" t="s">
        <v>9</v>
      </c>
    </row>
    <row r="12" spans="1:1" x14ac:dyDescent="0.35">
      <c r="A12" s="2" t="s">
        <v>10</v>
      </c>
    </row>
    <row r="13" spans="1:1" x14ac:dyDescent="0.35">
      <c r="A13" s="2" t="s">
        <v>11</v>
      </c>
    </row>
    <row r="14" spans="1:1" x14ac:dyDescent="0.35">
      <c r="A14" s="2" t="s">
        <v>12</v>
      </c>
    </row>
    <row r="15" spans="1:1" x14ac:dyDescent="0.35">
      <c r="A15" s="2" t="s">
        <v>13</v>
      </c>
    </row>
    <row r="16" spans="1:1" x14ac:dyDescent="0.35">
      <c r="A16" s="2"/>
    </row>
    <row r="17" spans="1:1" ht="15.5" x14ac:dyDescent="0.35">
      <c r="A17" s="1" t="s">
        <v>14</v>
      </c>
    </row>
    <row r="18" spans="1:1" ht="29" x14ac:dyDescent="0.35">
      <c r="A18" s="2" t="s">
        <v>15</v>
      </c>
    </row>
    <row r="19" spans="1:1" ht="29" x14ac:dyDescent="0.35">
      <c r="A19" s="2" t="s">
        <v>16</v>
      </c>
    </row>
  </sheetData>
  <pageMargins left="0.75" right="0.75" top="1" bottom="1" header="0.5" footer="0.5"/>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4"/>
  <sheetViews>
    <sheetView workbookViewId="0">
      <selection activeCell="D10" sqref="D10"/>
    </sheetView>
  </sheetViews>
  <sheetFormatPr defaultRowHeight="14.5" x14ac:dyDescent="0.35"/>
  <cols>
    <col min="1" max="1" width="5" customWidth="1"/>
    <col min="2" max="2" width="18" customWidth="1"/>
    <col min="3" max="3" width="30" customWidth="1"/>
    <col min="4" max="4" width="90" customWidth="1"/>
  </cols>
  <sheetData>
    <row r="1" spans="1:4" x14ac:dyDescent="0.35">
      <c r="A1" s="3" t="s">
        <v>17</v>
      </c>
      <c r="B1" s="3" t="s">
        <v>18</v>
      </c>
      <c r="C1" s="3" t="s">
        <v>19</v>
      </c>
      <c r="D1" s="3" t="s">
        <v>20</v>
      </c>
    </row>
    <row r="2" spans="1:4" ht="29" x14ac:dyDescent="0.35">
      <c r="A2" s="4">
        <v>1</v>
      </c>
      <c r="B2" s="5" t="s">
        <v>21</v>
      </c>
      <c r="C2" s="5" t="s">
        <v>22</v>
      </c>
      <c r="D2" s="5" t="s">
        <v>23</v>
      </c>
    </row>
    <row r="3" spans="1:4" ht="29" x14ac:dyDescent="0.35">
      <c r="A3" s="4">
        <v>2</v>
      </c>
      <c r="B3" s="5" t="s">
        <v>24</v>
      </c>
      <c r="C3" s="5" t="s">
        <v>22</v>
      </c>
      <c r="D3" s="5" t="s">
        <v>25</v>
      </c>
    </row>
    <row r="4" spans="1:4" x14ac:dyDescent="0.35">
      <c r="A4" s="4">
        <v>3</v>
      </c>
      <c r="B4" s="5" t="s">
        <v>26</v>
      </c>
      <c r="C4" s="5" t="s">
        <v>22</v>
      </c>
      <c r="D4" s="5" t="s">
        <v>27</v>
      </c>
    </row>
    <row r="5" spans="1:4" x14ac:dyDescent="0.35">
      <c r="A5" s="4">
        <v>4</v>
      </c>
      <c r="B5" s="5" t="s">
        <v>28</v>
      </c>
      <c r="C5" s="5" t="s">
        <v>22</v>
      </c>
      <c r="D5" s="5" t="s">
        <v>29</v>
      </c>
    </row>
    <row r="6" spans="1:4" x14ac:dyDescent="0.35">
      <c r="A6" s="4">
        <v>5</v>
      </c>
      <c r="B6" s="5" t="s">
        <v>30</v>
      </c>
      <c r="C6" s="5" t="s">
        <v>22</v>
      </c>
      <c r="D6" s="5" t="s">
        <v>31</v>
      </c>
    </row>
    <row r="7" spans="1:4" x14ac:dyDescent="0.35">
      <c r="A7" s="4">
        <v>6</v>
      </c>
      <c r="B7" s="5" t="s">
        <v>32</v>
      </c>
      <c r="C7" s="5" t="s">
        <v>33</v>
      </c>
      <c r="D7" s="5" t="s">
        <v>34</v>
      </c>
    </row>
    <row r="8" spans="1:4" ht="29" x14ac:dyDescent="0.35">
      <c r="A8" s="4">
        <v>7</v>
      </c>
      <c r="B8" s="5" t="s">
        <v>35</v>
      </c>
      <c r="C8" s="5" t="s">
        <v>33</v>
      </c>
      <c r="D8" s="5" t="s">
        <v>36</v>
      </c>
    </row>
    <row r="9" spans="1:4" ht="29" x14ac:dyDescent="0.35">
      <c r="A9" s="4">
        <v>8</v>
      </c>
      <c r="B9" s="5" t="s">
        <v>37</v>
      </c>
      <c r="C9" s="5" t="s">
        <v>38</v>
      </c>
      <c r="D9" s="5" t="s">
        <v>39</v>
      </c>
    </row>
    <row r="10" spans="1:4" x14ac:dyDescent="0.35">
      <c r="A10" s="4">
        <v>9</v>
      </c>
      <c r="B10" s="5" t="s">
        <v>40</v>
      </c>
      <c r="C10" s="5" t="s">
        <v>38</v>
      </c>
      <c r="D10" s="5" t="s">
        <v>41</v>
      </c>
    </row>
    <row r="11" spans="1:4" ht="29" x14ac:dyDescent="0.35">
      <c r="A11" s="4">
        <v>10</v>
      </c>
      <c r="B11" s="5" t="s">
        <v>42</v>
      </c>
      <c r="C11" s="5" t="s">
        <v>43</v>
      </c>
      <c r="D11" s="5" t="s">
        <v>44</v>
      </c>
    </row>
    <row r="12" spans="1:4" ht="29" x14ac:dyDescent="0.35">
      <c r="A12" s="4">
        <v>11</v>
      </c>
      <c r="B12" s="5" t="s">
        <v>45</v>
      </c>
      <c r="C12" s="5" t="s">
        <v>43</v>
      </c>
      <c r="D12" s="5" t="s">
        <v>46</v>
      </c>
    </row>
    <row r="13" spans="1:4" ht="29" x14ac:dyDescent="0.35">
      <c r="A13" s="4">
        <v>12</v>
      </c>
      <c r="B13" s="5" t="s">
        <v>47</v>
      </c>
      <c r="C13" s="5" t="s">
        <v>48</v>
      </c>
      <c r="D13" s="5" t="s">
        <v>49</v>
      </c>
    </row>
    <row r="14" spans="1:4" x14ac:dyDescent="0.35">
      <c r="A14" s="4">
        <v>13</v>
      </c>
      <c r="B14" s="5" t="s">
        <v>50</v>
      </c>
      <c r="C14" s="5" t="s">
        <v>51</v>
      </c>
    </row>
  </sheetData>
  <pageMargins left="0.75" right="0.75" top="1" bottom="1" header="0.5" footer="0.5"/>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4"/>
  <sheetViews>
    <sheetView workbookViewId="0">
      <selection activeCell="F12" sqref="F12"/>
    </sheetView>
  </sheetViews>
  <sheetFormatPr defaultRowHeight="14.5" x14ac:dyDescent="0.35"/>
  <cols>
    <col min="1" max="1" width="5" customWidth="1"/>
    <col min="2" max="2" width="30" customWidth="1"/>
    <col min="3" max="3" width="10" customWidth="1"/>
    <col min="4" max="4" width="66.81640625" customWidth="1"/>
    <col min="5" max="5" width="14" customWidth="1"/>
  </cols>
  <sheetData>
    <row r="1" spans="1:5" ht="29" x14ac:dyDescent="0.35">
      <c r="A1" s="3" t="s">
        <v>17</v>
      </c>
      <c r="B1" s="3" t="s">
        <v>52</v>
      </c>
      <c r="C1" s="3" t="s">
        <v>53</v>
      </c>
      <c r="D1" s="3" t="s">
        <v>181</v>
      </c>
      <c r="E1" s="3" t="s">
        <v>54</v>
      </c>
    </row>
    <row r="2" spans="1:5" ht="29" x14ac:dyDescent="0.35">
      <c r="A2" s="4">
        <v>1</v>
      </c>
      <c r="B2" s="5" t="s">
        <v>55</v>
      </c>
      <c r="C2" s="4" t="s">
        <v>56</v>
      </c>
      <c r="D2" s="6" t="s">
        <v>165</v>
      </c>
      <c r="E2" s="7" t="s">
        <v>189</v>
      </c>
    </row>
    <row r="3" spans="1:5" x14ac:dyDescent="0.35">
      <c r="A3" s="4">
        <v>2</v>
      </c>
      <c r="B3" s="5" t="s">
        <v>57</v>
      </c>
      <c r="C3" s="4" t="s">
        <v>56</v>
      </c>
      <c r="D3" s="10" t="s">
        <v>191</v>
      </c>
      <c r="E3" s="7" t="s">
        <v>189</v>
      </c>
    </row>
    <row r="4" spans="1:5" x14ac:dyDescent="0.35">
      <c r="A4" s="4">
        <v>3</v>
      </c>
      <c r="B4" s="5" t="s">
        <v>58</v>
      </c>
      <c r="C4" s="4" t="s">
        <v>56</v>
      </c>
      <c r="D4" s="6" t="s">
        <v>192</v>
      </c>
      <c r="E4" s="7" t="s">
        <v>189</v>
      </c>
    </row>
    <row r="5" spans="1:5" x14ac:dyDescent="0.35">
      <c r="A5" s="4">
        <v>4</v>
      </c>
      <c r="B5" s="5" t="s">
        <v>59</v>
      </c>
      <c r="C5" s="4" t="s">
        <v>56</v>
      </c>
      <c r="D5" s="10" t="s">
        <v>182</v>
      </c>
      <c r="E5" s="7" t="s">
        <v>189</v>
      </c>
    </row>
    <row r="6" spans="1:5" x14ac:dyDescent="0.35">
      <c r="A6" s="4">
        <v>5</v>
      </c>
      <c r="B6" s="5" t="s">
        <v>60</v>
      </c>
      <c r="C6" s="4" t="s">
        <v>61</v>
      </c>
      <c r="D6" s="6" t="s">
        <v>183</v>
      </c>
      <c r="E6" s="7" t="s">
        <v>189</v>
      </c>
    </row>
    <row r="7" spans="1:5" x14ac:dyDescent="0.35">
      <c r="A7" s="4">
        <v>6</v>
      </c>
      <c r="B7" s="5" t="s">
        <v>62</v>
      </c>
      <c r="C7" s="4" t="s">
        <v>61</v>
      </c>
      <c r="D7" s="6" t="s">
        <v>184</v>
      </c>
      <c r="E7" s="7" t="s">
        <v>189</v>
      </c>
    </row>
    <row r="8" spans="1:5" x14ac:dyDescent="0.35">
      <c r="A8" s="4">
        <v>7</v>
      </c>
      <c r="B8" s="5" t="s">
        <v>63</v>
      </c>
      <c r="C8" s="4" t="s">
        <v>61</v>
      </c>
      <c r="D8" s="6" t="s">
        <v>185</v>
      </c>
      <c r="E8" s="7" t="s">
        <v>189</v>
      </c>
    </row>
    <row r="9" spans="1:5" x14ac:dyDescent="0.35">
      <c r="A9" s="4">
        <v>8</v>
      </c>
      <c r="B9" s="5" t="s">
        <v>64</v>
      </c>
      <c r="C9" s="4" t="s">
        <v>61</v>
      </c>
      <c r="D9" s="10" t="s">
        <v>186</v>
      </c>
      <c r="E9" s="7" t="s">
        <v>189</v>
      </c>
    </row>
    <row r="10" spans="1:5" x14ac:dyDescent="0.35">
      <c r="A10" s="4">
        <v>9</v>
      </c>
      <c r="B10" s="5" t="s">
        <v>65</v>
      </c>
      <c r="C10" s="4" t="s">
        <v>61</v>
      </c>
      <c r="D10" s="6" t="s">
        <v>187</v>
      </c>
      <c r="E10" s="7" t="s">
        <v>189</v>
      </c>
    </row>
    <row r="11" spans="1:5" ht="29" x14ac:dyDescent="0.35">
      <c r="A11" s="4">
        <v>10</v>
      </c>
      <c r="B11" s="5" t="s">
        <v>66</v>
      </c>
      <c r="C11" s="4" t="s">
        <v>61</v>
      </c>
      <c r="D11" s="6" t="s">
        <v>188</v>
      </c>
      <c r="E11" s="7" t="s">
        <v>189</v>
      </c>
    </row>
    <row r="12" spans="1:5" ht="43.5" x14ac:dyDescent="0.35">
      <c r="A12" s="4">
        <v>11</v>
      </c>
      <c r="B12" s="5" t="s">
        <v>67</v>
      </c>
      <c r="C12" s="4" t="s">
        <v>61</v>
      </c>
      <c r="D12" s="6" t="s">
        <v>177</v>
      </c>
      <c r="E12" s="7" t="s">
        <v>189</v>
      </c>
    </row>
    <row r="14" spans="1:5" x14ac:dyDescent="0.35">
      <c r="D14" t="s">
        <v>190</v>
      </c>
    </row>
  </sheetData>
  <dataValidations count="1">
    <dataValidation type="list" allowBlank="1" sqref="E2:E12">
      <formula1>"иә,жоқ"</formula1>
    </dataValidation>
  </dataValidations>
  <hyperlinks>
    <hyperlink ref="D3" r:id="rId1"/>
    <hyperlink ref="D5" r:id="rId2"/>
    <hyperlink ref="D9" r:id="rId3"/>
  </hyperlinks>
  <pageMargins left="0.75" right="0.75" top="1" bottom="1" header="0.5" footer="0.5"/>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81"/>
  <sheetViews>
    <sheetView zoomScale="70" zoomScaleNormal="70" workbookViewId="0">
      <pane xSplit="1" ySplit="1" topLeftCell="B2" activePane="bottomRight" state="frozen"/>
      <selection pane="topRight"/>
      <selection pane="bottomLeft"/>
      <selection pane="bottomRight" activeCell="L2" sqref="L2"/>
    </sheetView>
  </sheetViews>
  <sheetFormatPr defaultRowHeight="14.5" x14ac:dyDescent="0.35"/>
  <cols>
    <col min="1" max="1" width="5" customWidth="1"/>
    <col min="2" max="2" width="26" customWidth="1"/>
    <col min="3" max="3" width="9" customWidth="1"/>
    <col min="4" max="5" width="16" customWidth="1"/>
    <col min="6" max="6" width="24" customWidth="1"/>
    <col min="7" max="7" width="16" customWidth="1"/>
    <col min="8" max="8" width="48" customWidth="1"/>
    <col min="9" max="9" width="10" customWidth="1"/>
    <col min="10" max="10" width="36.1796875" customWidth="1"/>
  </cols>
  <sheetData>
    <row r="1" spans="1:10" ht="29" x14ac:dyDescent="0.35">
      <c r="A1" s="3" t="s">
        <v>17</v>
      </c>
      <c r="B1" s="3" t="s">
        <v>52</v>
      </c>
      <c r="C1" s="3" t="s">
        <v>53</v>
      </c>
      <c r="D1" s="3" t="s">
        <v>18</v>
      </c>
      <c r="E1" s="3" t="s">
        <v>68</v>
      </c>
      <c r="F1" s="3" t="s">
        <v>69</v>
      </c>
      <c r="G1" s="3" t="s">
        <v>70</v>
      </c>
      <c r="H1" s="3" t="s">
        <v>71</v>
      </c>
      <c r="I1" s="3" t="s">
        <v>72</v>
      </c>
      <c r="J1" s="3" t="s">
        <v>73</v>
      </c>
    </row>
    <row r="2" spans="1:10" ht="204.5" customHeight="1" x14ac:dyDescent="0.35">
      <c r="A2" s="4">
        <v>1</v>
      </c>
      <c r="B2" s="6" t="s">
        <v>60</v>
      </c>
      <c r="C2" s="4" t="str">
        <f>IFERROR(VLOOKUP(B2,Шығармалар!$B$2:$C$12,2,0),"")</f>
        <v>Жыр</v>
      </c>
      <c r="D2" s="6" t="s">
        <v>35</v>
      </c>
      <c r="E2" s="6"/>
      <c r="F2" s="5" t="str">
        <f>IFERROR(VLOOKUP(D2,Ойындар!$B$2:$C$14,2,0),"")</f>
        <v>Күш және мергендік ойындары</v>
      </c>
      <c r="G2" s="6"/>
      <c r="H2" s="6" t="s">
        <v>157</v>
      </c>
      <c r="I2" s="7" t="s">
        <v>178</v>
      </c>
      <c r="J2" s="6" t="s">
        <v>158</v>
      </c>
    </row>
    <row r="3" spans="1:10" ht="79.5" customHeight="1" x14ac:dyDescent="0.35">
      <c r="A3" s="4">
        <v>2</v>
      </c>
      <c r="B3" s="6" t="s">
        <v>60</v>
      </c>
      <c r="C3" s="4" t="str">
        <f>IFERROR(VLOOKUP(B3,Шығармалар!$B$2:$C$12,2,0),"")</f>
        <v>Жыр</v>
      </c>
      <c r="D3" s="6" t="s">
        <v>24</v>
      </c>
      <c r="E3" s="6"/>
      <c r="F3" s="5" t="str">
        <f>IFERROR(VLOOKUP(D3,Ойындар!$B$2:$C$14,2,0),"")</f>
        <v>Ат ойындары</v>
      </c>
      <c r="G3" s="6"/>
      <c r="H3" s="6" t="s">
        <v>160</v>
      </c>
      <c r="I3" s="7" t="s">
        <v>179</v>
      </c>
      <c r="J3" s="6" t="s">
        <v>159</v>
      </c>
    </row>
    <row r="4" spans="1:10" ht="137.5" customHeight="1" x14ac:dyDescent="0.35">
      <c r="A4" s="4">
        <v>3</v>
      </c>
      <c r="B4" s="6" t="s">
        <v>62</v>
      </c>
      <c r="C4" s="4" t="str">
        <f>IFERROR(VLOOKUP(B4,Шығармалар!$B$2:$C$12,2,0),"")</f>
        <v>Жыр</v>
      </c>
      <c r="D4" s="6" t="s">
        <v>21</v>
      </c>
      <c r="E4" s="6"/>
      <c r="F4" s="5" t="str">
        <f>IFERROR(VLOOKUP(D4,Ойындар!$B$2:$C$14,2,0),"")</f>
        <v>Ат ойындары</v>
      </c>
      <c r="G4" s="6"/>
      <c r="H4" s="6"/>
      <c r="I4" s="7" t="s">
        <v>179</v>
      </c>
      <c r="J4" s="6" t="s">
        <v>161</v>
      </c>
    </row>
    <row r="5" spans="1:10" ht="386.5" customHeight="1" x14ac:dyDescent="0.35">
      <c r="A5" s="4">
        <v>4</v>
      </c>
      <c r="B5" s="6" t="s">
        <v>55</v>
      </c>
      <c r="C5" s="4" t="str">
        <f>IFERROR(VLOOKUP(B5,Шығармалар!$B$2:$C$12,2,0),"")</f>
        <v>Ертегі</v>
      </c>
      <c r="D5" s="6" t="s">
        <v>21</v>
      </c>
      <c r="E5" s="6"/>
      <c r="F5" s="5" t="str">
        <f>IFERROR(VLOOKUP(D5,Ойындар!$B$2:$C$14,2,0),"")</f>
        <v>Ат ойындары</v>
      </c>
      <c r="G5" s="6"/>
      <c r="H5" s="6"/>
      <c r="I5" s="7" t="s">
        <v>179</v>
      </c>
      <c r="J5" s="6" t="s">
        <v>164</v>
      </c>
    </row>
    <row r="6" spans="1:10" ht="156.5" customHeight="1" x14ac:dyDescent="0.35">
      <c r="A6" s="4">
        <v>5</v>
      </c>
      <c r="B6" s="6" t="s">
        <v>55</v>
      </c>
      <c r="C6" s="4" t="str">
        <f>IFERROR(VLOOKUP(B6,Шығармалар!$B$2:$C$12,2,0),"")</f>
        <v>Ертегі</v>
      </c>
      <c r="D6" s="6" t="s">
        <v>32</v>
      </c>
      <c r="E6" s="6"/>
      <c r="F6" s="5" t="str">
        <f>IFERROR(VLOOKUP(D6,Ойындар!$B$2:$C$14,2,0),"")</f>
        <v>Күш және мергендік ойындары</v>
      </c>
      <c r="G6" s="6"/>
      <c r="H6" s="6"/>
      <c r="I6" s="7" t="s">
        <v>178</v>
      </c>
      <c r="J6" s="6" t="s">
        <v>162</v>
      </c>
    </row>
    <row r="7" spans="1:10" ht="58" x14ac:dyDescent="0.35">
      <c r="A7" s="4">
        <v>6</v>
      </c>
      <c r="B7" s="6" t="s">
        <v>55</v>
      </c>
      <c r="C7" s="4" t="str">
        <f>IFERROR(VLOOKUP(B7,Шығармалар!$B$2:$C$12,2,0),"")</f>
        <v>Ертегі</v>
      </c>
      <c r="D7" s="6" t="s">
        <v>42</v>
      </c>
      <c r="E7" s="6"/>
      <c r="F7" s="5" t="str">
        <f>IFERROR(VLOOKUP(D7,Ойындар!$B$2:$C$14,2,0),"")</f>
        <v>Балалар ойындары</v>
      </c>
      <c r="G7" s="6"/>
      <c r="H7" s="6"/>
      <c r="I7" s="7" t="s">
        <v>180</v>
      </c>
      <c r="J7" s="6" t="s">
        <v>163</v>
      </c>
    </row>
    <row r="8" spans="1:10" ht="72.5" x14ac:dyDescent="0.35">
      <c r="A8" s="4">
        <v>7</v>
      </c>
      <c r="B8" s="6" t="s">
        <v>57</v>
      </c>
      <c r="C8" s="4" t="str">
        <f>IFERROR(VLOOKUP(B8,Шығармалар!$B$2:$C$12,2,0),"")</f>
        <v>Ертегі</v>
      </c>
      <c r="D8" s="6" t="s">
        <v>32</v>
      </c>
      <c r="E8" s="6"/>
      <c r="F8" s="5" t="str">
        <f>IFERROR(VLOOKUP(D8,Ойындар!$B$2:$C$14,2,0),"")</f>
        <v>Күш және мергендік ойындары</v>
      </c>
      <c r="G8" s="6"/>
      <c r="H8" s="6"/>
      <c r="I8" s="7" t="s">
        <v>180</v>
      </c>
      <c r="J8" s="6" t="s">
        <v>166</v>
      </c>
    </row>
    <row r="9" spans="1:10" ht="290" x14ac:dyDescent="0.35">
      <c r="A9" s="4">
        <v>8</v>
      </c>
      <c r="B9" s="6" t="s">
        <v>58</v>
      </c>
      <c r="C9" s="4" t="str">
        <f>IFERROR(VLOOKUP(B9,Шығармалар!$B$2:$C$12,2,0),"")</f>
        <v>Ертегі</v>
      </c>
      <c r="D9" s="6" t="s">
        <v>42</v>
      </c>
      <c r="E9" s="6"/>
      <c r="F9" s="5" t="str">
        <f>IFERROR(VLOOKUP(D9,Ойындар!$B$2:$C$14,2,0),"")</f>
        <v>Балалар ойындары</v>
      </c>
      <c r="G9" s="6"/>
      <c r="H9" s="6"/>
      <c r="I9" s="7" t="s">
        <v>180</v>
      </c>
      <c r="J9" s="6" t="s">
        <v>167</v>
      </c>
    </row>
    <row r="10" spans="1:10" ht="29" x14ac:dyDescent="0.35">
      <c r="A10" s="4">
        <v>9</v>
      </c>
      <c r="B10" s="6" t="s">
        <v>65</v>
      </c>
      <c r="C10" s="4" t="str">
        <f>IFERROR(VLOOKUP(B10,Шығармалар!$B$2:$C$12,2,0),"")</f>
        <v>Жыр</v>
      </c>
      <c r="D10" s="6" t="s">
        <v>42</v>
      </c>
      <c r="E10" s="6"/>
      <c r="F10" s="5" t="str">
        <f>IFERROR(VLOOKUP(D10,Ойындар!$B$2:$C$14,2,0),"")</f>
        <v>Балалар ойындары</v>
      </c>
      <c r="G10" s="6"/>
      <c r="H10" s="6"/>
      <c r="I10" s="7" t="s">
        <v>180</v>
      </c>
      <c r="J10" s="6" t="s">
        <v>168</v>
      </c>
    </row>
    <row r="11" spans="1:10" ht="101.5" x14ac:dyDescent="0.35">
      <c r="A11" s="4">
        <v>10</v>
      </c>
      <c r="B11" s="6" t="s">
        <v>59</v>
      </c>
      <c r="C11" s="4" t="str">
        <f>IFERROR(VLOOKUP(B11,Шығармалар!$B$2:$C$12,2,0),"")</f>
        <v>Ертегі</v>
      </c>
      <c r="D11" s="6" t="s">
        <v>169</v>
      </c>
      <c r="E11" s="6"/>
      <c r="F11" s="5" t="str">
        <f>IFERROR(VLOOKUP(D11,Ойындар!$B$2:$C$14,2,0),"")</f>
        <v/>
      </c>
      <c r="G11" s="6"/>
      <c r="H11" s="6"/>
      <c r="I11" s="7" t="s">
        <v>178</v>
      </c>
      <c r="J11" s="6" t="s">
        <v>170</v>
      </c>
    </row>
    <row r="12" spans="1:10" ht="116" x14ac:dyDescent="0.35">
      <c r="A12" s="4">
        <v>11</v>
      </c>
      <c r="B12" s="6" t="s">
        <v>59</v>
      </c>
      <c r="C12" s="4" t="str">
        <f>IFERROR(VLOOKUP(B12,Шығармалар!$B$2:$C$12,2,0),"")</f>
        <v>Ертегі</v>
      </c>
      <c r="D12" s="6" t="s">
        <v>32</v>
      </c>
      <c r="E12" s="6"/>
      <c r="F12" s="5" t="str">
        <f>IFERROR(VLOOKUP(D12,Ойындар!$B$2:$C$14,2,0),"")</f>
        <v>Күш және мергендік ойындары</v>
      </c>
      <c r="G12" s="6"/>
      <c r="H12" s="6"/>
      <c r="I12" s="7" t="s">
        <v>178</v>
      </c>
      <c r="J12" s="6" t="s">
        <v>171</v>
      </c>
    </row>
    <row r="13" spans="1:10" ht="130.5" x14ac:dyDescent="0.35">
      <c r="A13" s="4">
        <v>12</v>
      </c>
      <c r="B13" s="6" t="s">
        <v>63</v>
      </c>
      <c r="C13" s="4" t="str">
        <f>IFERROR(VLOOKUP(B13,Шығармалар!$B$2:$C$12,2,0),"")</f>
        <v>Жыр</v>
      </c>
      <c r="D13" s="6" t="s">
        <v>21</v>
      </c>
      <c r="E13" s="6"/>
      <c r="F13" s="5" t="str">
        <f>IFERROR(VLOOKUP(D13,Ойындар!$B$2:$C$14,2,0),"")</f>
        <v>Ат ойындары</v>
      </c>
      <c r="G13" s="6"/>
      <c r="H13" s="6"/>
      <c r="I13" s="7" t="s">
        <v>179</v>
      </c>
      <c r="J13" s="6" t="s">
        <v>172</v>
      </c>
    </row>
    <row r="14" spans="1:10" ht="130.5" x14ac:dyDescent="0.35">
      <c r="A14" s="4">
        <v>13</v>
      </c>
      <c r="B14" s="6" t="s">
        <v>64</v>
      </c>
      <c r="C14" s="4" t="str">
        <f>IFERROR(VLOOKUP(B14,Шығармалар!$B$2:$C$12,2,0),"")</f>
        <v>Жыр</v>
      </c>
      <c r="D14" s="6" t="s">
        <v>30</v>
      </c>
      <c r="E14" s="6"/>
      <c r="F14" s="5" t="str">
        <f>IFERROR(VLOOKUP(D14,Ойындар!$B$2:$C$14,2,0),"")</f>
        <v>Ат ойындары</v>
      </c>
      <c r="G14" s="6"/>
      <c r="H14" s="6"/>
      <c r="I14" s="7" t="s">
        <v>179</v>
      </c>
      <c r="J14" s="6" t="s">
        <v>173</v>
      </c>
    </row>
    <row r="15" spans="1:10" ht="145" x14ac:dyDescent="0.35">
      <c r="A15" s="4">
        <v>14</v>
      </c>
      <c r="B15" s="6" t="s">
        <v>66</v>
      </c>
      <c r="C15" s="4" t="str">
        <f>IFERROR(VLOOKUP(B15,Шығармалар!$B$2:$C$12,2,0),"")</f>
        <v>Жыр</v>
      </c>
      <c r="D15" s="6" t="s">
        <v>30</v>
      </c>
      <c r="E15" s="6"/>
      <c r="F15" s="5" t="str">
        <f>IFERROR(VLOOKUP(D15,Ойындар!$B$2:$C$14,2,0),"")</f>
        <v>Ат ойындары</v>
      </c>
      <c r="G15" s="6"/>
      <c r="H15" s="6"/>
      <c r="I15" s="7" t="s">
        <v>180</v>
      </c>
      <c r="J15" s="6" t="s">
        <v>174</v>
      </c>
    </row>
    <row r="16" spans="1:10" ht="116" x14ac:dyDescent="0.35">
      <c r="A16" s="4">
        <v>15</v>
      </c>
      <c r="B16" s="6" t="s">
        <v>66</v>
      </c>
      <c r="C16" s="4" t="str">
        <f>IFERROR(VLOOKUP(B16,Шығармалар!$B$2:$C$12,2,0),"")</f>
        <v>Жыр</v>
      </c>
      <c r="D16" s="6" t="s">
        <v>42</v>
      </c>
      <c r="E16" s="6"/>
      <c r="F16" s="5" t="str">
        <f>IFERROR(VLOOKUP(D16,Ойындар!$B$2:$C$14,2,0),"")</f>
        <v>Балалар ойындары</v>
      </c>
      <c r="G16" s="6"/>
      <c r="H16" s="6"/>
      <c r="I16" s="7" t="s">
        <v>180</v>
      </c>
      <c r="J16" s="6" t="s">
        <v>175</v>
      </c>
    </row>
    <row r="17" spans="1:10" ht="130.5" x14ac:dyDescent="0.35">
      <c r="A17" s="4">
        <v>16</v>
      </c>
      <c r="B17" s="6" t="s">
        <v>67</v>
      </c>
      <c r="C17" s="4" t="str">
        <f>IFERROR(VLOOKUP(B17,Шығармалар!$B$2:$C$12,2,0),"")</f>
        <v>Жыр</v>
      </c>
      <c r="D17" s="6" t="s">
        <v>21</v>
      </c>
      <c r="E17" s="6"/>
      <c r="F17" s="5" t="str">
        <f>IFERROR(VLOOKUP(D17,Ойындар!$B$2:$C$14,2,0),"")</f>
        <v>Ат ойындары</v>
      </c>
      <c r="G17" s="6"/>
      <c r="H17" s="6"/>
      <c r="I17" s="7" t="s">
        <v>179</v>
      </c>
      <c r="J17" s="6" t="s">
        <v>176</v>
      </c>
    </row>
    <row r="18" spans="1:10" x14ac:dyDescent="0.35">
      <c r="A18" s="4">
        <v>17</v>
      </c>
      <c r="B18" s="6"/>
      <c r="C18" s="4" t="str">
        <f>IFERROR(VLOOKUP(B18,Шығармалар!$B$2:$C$12,2,0),"")</f>
        <v/>
      </c>
      <c r="D18" s="6"/>
      <c r="E18" s="6"/>
      <c r="F18" s="5" t="str">
        <f>IFERROR(VLOOKUP(D18,Ойындар!$B$2:$C$14,2,0),"")</f>
        <v/>
      </c>
      <c r="G18" s="6"/>
      <c r="H18" s="6"/>
      <c r="I18" s="7"/>
      <c r="J18" s="6"/>
    </row>
    <row r="19" spans="1:10" x14ac:dyDescent="0.35">
      <c r="A19" s="4">
        <v>18</v>
      </c>
      <c r="B19" s="6"/>
      <c r="C19" s="4" t="str">
        <f>IFERROR(VLOOKUP(B19,Шығармалар!$B$2:$C$12,2,0),"")</f>
        <v/>
      </c>
      <c r="D19" s="6"/>
      <c r="E19" s="6"/>
      <c r="F19" s="5" t="str">
        <f>IFERROR(VLOOKUP(D19,Ойындар!$B$2:$C$14,2,0),"")</f>
        <v/>
      </c>
      <c r="G19" s="6"/>
      <c r="H19" s="6"/>
      <c r="I19" s="7"/>
      <c r="J19" s="6"/>
    </row>
    <row r="20" spans="1:10" x14ac:dyDescent="0.35">
      <c r="A20" s="4">
        <v>19</v>
      </c>
      <c r="B20" s="6"/>
      <c r="C20" s="4" t="str">
        <f>IFERROR(VLOOKUP(B20,Шығармалар!$B$2:$C$12,2,0),"")</f>
        <v/>
      </c>
      <c r="D20" s="6"/>
      <c r="E20" s="6"/>
      <c r="F20" s="5" t="str">
        <f>IFERROR(VLOOKUP(D20,Ойындар!$B$2:$C$14,2,0),"")</f>
        <v/>
      </c>
      <c r="G20" s="6"/>
      <c r="H20" s="6"/>
      <c r="I20" s="7"/>
      <c r="J20" s="6"/>
    </row>
    <row r="21" spans="1:10" x14ac:dyDescent="0.35">
      <c r="A21" s="4">
        <v>20</v>
      </c>
      <c r="B21" s="6"/>
      <c r="C21" s="4" t="str">
        <f>IFERROR(VLOOKUP(B21,Шығармалар!$B$2:$C$12,2,0),"")</f>
        <v/>
      </c>
      <c r="D21" s="6"/>
      <c r="E21" s="6"/>
      <c r="F21" s="5" t="str">
        <f>IFERROR(VLOOKUP(D21,Ойындар!$B$2:$C$14,2,0),"")</f>
        <v/>
      </c>
      <c r="G21" s="6"/>
      <c r="H21" s="6"/>
      <c r="I21" s="7"/>
      <c r="J21" s="6"/>
    </row>
    <row r="22" spans="1:10" x14ac:dyDescent="0.35">
      <c r="A22" s="4">
        <v>21</v>
      </c>
      <c r="B22" s="6"/>
      <c r="C22" s="4" t="str">
        <f>IFERROR(VLOOKUP(B22,Шығармалар!$B$2:$C$12,2,0),"")</f>
        <v/>
      </c>
      <c r="D22" s="6"/>
      <c r="E22" s="6"/>
      <c r="F22" s="5" t="str">
        <f>IFERROR(VLOOKUP(D22,Ойындар!$B$2:$C$14,2,0),"")</f>
        <v/>
      </c>
      <c r="G22" s="6"/>
      <c r="H22" s="6"/>
      <c r="I22" s="7"/>
      <c r="J22" s="6"/>
    </row>
    <row r="23" spans="1:10" x14ac:dyDescent="0.35">
      <c r="A23" s="4">
        <v>22</v>
      </c>
      <c r="B23" s="6"/>
      <c r="C23" s="4" t="str">
        <f>IFERROR(VLOOKUP(B23,Шығармалар!$B$2:$C$12,2,0),"")</f>
        <v/>
      </c>
      <c r="D23" s="6"/>
      <c r="E23" s="6"/>
      <c r="F23" s="5" t="str">
        <f>IFERROR(VLOOKUP(D23,Ойындар!$B$2:$C$14,2,0),"")</f>
        <v/>
      </c>
      <c r="G23" s="6"/>
      <c r="H23" s="6"/>
      <c r="I23" s="7"/>
      <c r="J23" s="6"/>
    </row>
    <row r="24" spans="1:10" x14ac:dyDescent="0.35">
      <c r="A24" s="4">
        <v>23</v>
      </c>
      <c r="B24" s="6"/>
      <c r="C24" s="4" t="str">
        <f>IFERROR(VLOOKUP(B24,Шығармалар!$B$2:$C$12,2,0),"")</f>
        <v/>
      </c>
      <c r="D24" s="6"/>
      <c r="E24" s="6"/>
      <c r="F24" s="5" t="str">
        <f>IFERROR(VLOOKUP(D24,Ойындар!$B$2:$C$14,2,0),"")</f>
        <v/>
      </c>
      <c r="G24" s="6"/>
      <c r="H24" s="6"/>
      <c r="I24" s="7"/>
      <c r="J24" s="6"/>
    </row>
    <row r="25" spans="1:10" x14ac:dyDescent="0.35">
      <c r="A25" s="4">
        <v>24</v>
      </c>
      <c r="B25" s="6"/>
      <c r="C25" s="4" t="str">
        <f>IFERROR(VLOOKUP(B25,Шығармалар!$B$2:$C$12,2,0),"")</f>
        <v/>
      </c>
      <c r="D25" s="6"/>
      <c r="E25" s="6"/>
      <c r="F25" s="5" t="str">
        <f>IFERROR(VLOOKUP(D25,Ойындар!$B$2:$C$14,2,0),"")</f>
        <v/>
      </c>
      <c r="G25" s="6"/>
      <c r="H25" s="6"/>
      <c r="I25" s="7"/>
      <c r="J25" s="6"/>
    </row>
    <row r="26" spans="1:10" x14ac:dyDescent="0.35">
      <c r="A26" s="4">
        <v>25</v>
      </c>
      <c r="B26" s="6"/>
      <c r="C26" s="4" t="str">
        <f>IFERROR(VLOOKUP(B26,Шығармалар!$B$2:$C$12,2,0),"")</f>
        <v/>
      </c>
      <c r="D26" s="6"/>
      <c r="E26" s="6"/>
      <c r="F26" s="5" t="str">
        <f>IFERROR(VLOOKUP(D26,Ойындар!$B$2:$C$14,2,0),"")</f>
        <v/>
      </c>
      <c r="G26" s="6"/>
      <c r="H26" s="6"/>
      <c r="I26" s="7"/>
      <c r="J26" s="6"/>
    </row>
    <row r="27" spans="1:10" x14ac:dyDescent="0.35">
      <c r="A27" s="4">
        <v>26</v>
      </c>
      <c r="B27" s="6"/>
      <c r="C27" s="4" t="str">
        <f>IFERROR(VLOOKUP(B27,Шығармалар!$B$2:$C$12,2,0),"")</f>
        <v/>
      </c>
      <c r="D27" s="6"/>
      <c r="E27" s="6"/>
      <c r="F27" s="5" t="str">
        <f>IFERROR(VLOOKUP(D27,Ойындар!$B$2:$C$14,2,0),"")</f>
        <v/>
      </c>
      <c r="G27" s="6"/>
      <c r="H27" s="6"/>
      <c r="I27" s="7"/>
      <c r="J27" s="6"/>
    </row>
    <row r="28" spans="1:10" x14ac:dyDescent="0.35">
      <c r="A28" s="4">
        <v>27</v>
      </c>
      <c r="B28" s="6"/>
      <c r="C28" s="4" t="str">
        <f>IFERROR(VLOOKUP(B28,Шығармалар!$B$2:$C$12,2,0),"")</f>
        <v/>
      </c>
      <c r="D28" s="6"/>
      <c r="E28" s="6"/>
      <c r="F28" s="5" t="str">
        <f>IFERROR(VLOOKUP(D28,Ойындар!$B$2:$C$14,2,0),"")</f>
        <v/>
      </c>
      <c r="G28" s="6"/>
      <c r="H28" s="6"/>
      <c r="I28" s="7"/>
      <c r="J28" s="6"/>
    </row>
    <row r="29" spans="1:10" x14ac:dyDescent="0.35">
      <c r="A29" s="4">
        <v>28</v>
      </c>
      <c r="B29" s="6"/>
      <c r="C29" s="4" t="str">
        <f>IFERROR(VLOOKUP(B29,Шығармалар!$B$2:$C$12,2,0),"")</f>
        <v/>
      </c>
      <c r="D29" s="6"/>
      <c r="E29" s="6"/>
      <c r="F29" s="5" t="str">
        <f>IFERROR(VLOOKUP(D29,Ойындар!$B$2:$C$14,2,0),"")</f>
        <v/>
      </c>
      <c r="G29" s="6"/>
      <c r="H29" s="6"/>
      <c r="I29" s="7"/>
      <c r="J29" s="6"/>
    </row>
    <row r="30" spans="1:10" x14ac:dyDescent="0.35">
      <c r="A30" s="4">
        <v>29</v>
      </c>
      <c r="B30" s="6"/>
      <c r="C30" s="4" t="str">
        <f>IFERROR(VLOOKUP(B30,Шығармалар!$B$2:$C$12,2,0),"")</f>
        <v/>
      </c>
      <c r="D30" s="6"/>
      <c r="E30" s="6"/>
      <c r="F30" s="5" t="str">
        <f>IFERROR(VLOOKUP(D30,Ойындар!$B$2:$C$14,2,0),"")</f>
        <v/>
      </c>
      <c r="G30" s="6"/>
      <c r="H30" s="6"/>
      <c r="I30" s="7"/>
      <c r="J30" s="6"/>
    </row>
    <row r="31" spans="1:10" x14ac:dyDescent="0.35">
      <c r="A31" s="4">
        <v>30</v>
      </c>
      <c r="B31" s="6"/>
      <c r="C31" s="4" t="str">
        <f>IFERROR(VLOOKUP(B31,Шығармалар!$B$2:$C$12,2,0),"")</f>
        <v/>
      </c>
      <c r="D31" s="6"/>
      <c r="E31" s="6"/>
      <c r="F31" s="5" t="str">
        <f>IFERROR(VLOOKUP(D31,Ойындар!$B$2:$C$14,2,0),"")</f>
        <v/>
      </c>
      <c r="G31" s="6"/>
      <c r="H31" s="6"/>
      <c r="I31" s="7"/>
      <c r="J31" s="6"/>
    </row>
    <row r="32" spans="1:10" x14ac:dyDescent="0.35">
      <c r="A32" s="4">
        <v>31</v>
      </c>
      <c r="B32" s="6"/>
      <c r="C32" s="4" t="str">
        <f>IFERROR(VLOOKUP(B32,Шығармалар!$B$2:$C$12,2,0),"")</f>
        <v/>
      </c>
      <c r="D32" s="6"/>
      <c r="E32" s="6"/>
      <c r="F32" s="5" t="str">
        <f>IFERROR(VLOOKUP(D32,Ойындар!$B$2:$C$14,2,0),"")</f>
        <v/>
      </c>
      <c r="G32" s="6"/>
      <c r="H32" s="6"/>
      <c r="I32" s="7"/>
      <c r="J32" s="6"/>
    </row>
    <row r="33" spans="1:10" x14ac:dyDescent="0.35">
      <c r="A33" s="4">
        <v>32</v>
      </c>
      <c r="B33" s="6"/>
      <c r="C33" s="4" t="str">
        <f>IFERROR(VLOOKUP(B33,Шығармалар!$B$2:$C$12,2,0),"")</f>
        <v/>
      </c>
      <c r="D33" s="6"/>
      <c r="E33" s="6"/>
      <c r="F33" s="5" t="str">
        <f>IFERROR(VLOOKUP(D33,Ойындар!$B$2:$C$14,2,0),"")</f>
        <v/>
      </c>
      <c r="G33" s="6"/>
      <c r="H33" s="6"/>
      <c r="I33" s="7"/>
      <c r="J33" s="6"/>
    </row>
    <row r="34" spans="1:10" x14ac:dyDescent="0.35">
      <c r="A34" s="4">
        <v>33</v>
      </c>
      <c r="B34" s="6"/>
      <c r="C34" s="4" t="str">
        <f>IFERROR(VLOOKUP(B34,Шығармалар!$B$2:$C$12,2,0),"")</f>
        <v/>
      </c>
      <c r="D34" s="6"/>
      <c r="E34" s="6"/>
      <c r="F34" s="5" t="str">
        <f>IFERROR(VLOOKUP(D34,Ойындар!$B$2:$C$14,2,0),"")</f>
        <v/>
      </c>
      <c r="G34" s="6"/>
      <c r="H34" s="6"/>
      <c r="I34" s="7"/>
      <c r="J34" s="6"/>
    </row>
    <row r="35" spans="1:10" x14ac:dyDescent="0.35">
      <c r="A35" s="4">
        <v>34</v>
      </c>
      <c r="B35" s="6"/>
      <c r="C35" s="4" t="str">
        <f>IFERROR(VLOOKUP(B35,Шығармалар!$B$2:$C$12,2,0),"")</f>
        <v/>
      </c>
      <c r="D35" s="6"/>
      <c r="E35" s="6"/>
      <c r="F35" s="5" t="str">
        <f>IFERROR(VLOOKUP(D35,Ойындар!$B$2:$C$14,2,0),"")</f>
        <v/>
      </c>
      <c r="G35" s="6"/>
      <c r="H35" s="6"/>
      <c r="I35" s="7"/>
      <c r="J35" s="6"/>
    </row>
    <row r="36" spans="1:10" x14ac:dyDescent="0.35">
      <c r="A36" s="4">
        <v>35</v>
      </c>
      <c r="B36" s="6"/>
      <c r="C36" s="4" t="str">
        <f>IFERROR(VLOOKUP(B36,Шығармалар!$B$2:$C$12,2,0),"")</f>
        <v/>
      </c>
      <c r="D36" s="6"/>
      <c r="E36" s="6"/>
      <c r="F36" s="5" t="str">
        <f>IFERROR(VLOOKUP(D36,Ойындар!$B$2:$C$14,2,0),"")</f>
        <v/>
      </c>
      <c r="G36" s="6"/>
      <c r="H36" s="6"/>
      <c r="I36" s="7"/>
      <c r="J36" s="6"/>
    </row>
    <row r="37" spans="1:10" x14ac:dyDescent="0.35">
      <c r="A37" s="4">
        <v>36</v>
      </c>
      <c r="B37" s="6"/>
      <c r="C37" s="4" t="str">
        <f>IFERROR(VLOOKUP(B37,Шығармалар!$B$2:$C$12,2,0),"")</f>
        <v/>
      </c>
      <c r="D37" s="6"/>
      <c r="E37" s="6"/>
      <c r="F37" s="5" t="str">
        <f>IFERROR(VLOOKUP(D37,Ойындар!$B$2:$C$14,2,0),"")</f>
        <v/>
      </c>
      <c r="G37" s="6"/>
      <c r="H37" s="6"/>
      <c r="I37" s="7"/>
      <c r="J37" s="6"/>
    </row>
    <row r="38" spans="1:10" x14ac:dyDescent="0.35">
      <c r="A38" s="4">
        <v>37</v>
      </c>
      <c r="B38" s="6"/>
      <c r="C38" s="4" t="str">
        <f>IFERROR(VLOOKUP(B38,Шығармалар!$B$2:$C$12,2,0),"")</f>
        <v/>
      </c>
      <c r="D38" s="6"/>
      <c r="E38" s="6"/>
      <c r="F38" s="5" t="str">
        <f>IFERROR(VLOOKUP(D38,Ойындар!$B$2:$C$14,2,0),"")</f>
        <v/>
      </c>
      <c r="G38" s="6"/>
      <c r="H38" s="6"/>
      <c r="I38" s="7"/>
      <c r="J38" s="6"/>
    </row>
    <row r="39" spans="1:10" x14ac:dyDescent="0.35">
      <c r="A39" s="4">
        <v>38</v>
      </c>
      <c r="B39" s="6"/>
      <c r="C39" s="4" t="str">
        <f>IFERROR(VLOOKUP(B39,Шығармалар!$B$2:$C$12,2,0),"")</f>
        <v/>
      </c>
      <c r="D39" s="6"/>
      <c r="E39" s="6"/>
      <c r="F39" s="5" t="str">
        <f>IFERROR(VLOOKUP(D39,Ойындар!$B$2:$C$14,2,0),"")</f>
        <v/>
      </c>
      <c r="G39" s="6"/>
      <c r="H39" s="6"/>
      <c r="I39" s="7"/>
      <c r="J39" s="6"/>
    </row>
    <row r="40" spans="1:10" x14ac:dyDescent="0.35">
      <c r="A40" s="4">
        <v>39</v>
      </c>
      <c r="B40" s="6"/>
      <c r="C40" s="4" t="str">
        <f>IFERROR(VLOOKUP(B40,Шығармалар!$B$2:$C$12,2,0),"")</f>
        <v/>
      </c>
      <c r="D40" s="6"/>
      <c r="E40" s="6"/>
      <c r="F40" s="5" t="str">
        <f>IFERROR(VLOOKUP(D40,Ойындар!$B$2:$C$14,2,0),"")</f>
        <v/>
      </c>
      <c r="G40" s="6"/>
      <c r="H40" s="6"/>
      <c r="I40" s="7"/>
      <c r="J40" s="6"/>
    </row>
    <row r="41" spans="1:10" x14ac:dyDescent="0.35">
      <c r="A41" s="4">
        <v>40</v>
      </c>
      <c r="B41" s="6"/>
      <c r="C41" s="4" t="str">
        <f>IFERROR(VLOOKUP(B41,Шығармалар!$B$2:$C$12,2,0),"")</f>
        <v/>
      </c>
      <c r="D41" s="6"/>
      <c r="E41" s="6"/>
      <c r="F41" s="5" t="str">
        <f>IFERROR(VLOOKUP(D41,Ойындар!$B$2:$C$14,2,0),"")</f>
        <v/>
      </c>
      <c r="G41" s="6"/>
      <c r="H41" s="6"/>
      <c r="I41" s="7"/>
      <c r="J41" s="6"/>
    </row>
    <row r="42" spans="1:10" x14ac:dyDescent="0.35">
      <c r="A42" s="4">
        <v>41</v>
      </c>
      <c r="B42" s="6"/>
      <c r="C42" s="4" t="str">
        <f>IFERROR(VLOOKUP(B42,Шығармалар!$B$2:$C$12,2,0),"")</f>
        <v/>
      </c>
      <c r="D42" s="6"/>
      <c r="E42" s="6"/>
      <c r="F42" s="5" t="str">
        <f>IFERROR(VLOOKUP(D42,Ойындар!$B$2:$C$14,2,0),"")</f>
        <v/>
      </c>
      <c r="G42" s="6"/>
      <c r="H42" s="6"/>
      <c r="I42" s="7"/>
      <c r="J42" s="6"/>
    </row>
    <row r="43" spans="1:10" x14ac:dyDescent="0.35">
      <c r="A43" s="4">
        <v>42</v>
      </c>
      <c r="B43" s="6"/>
      <c r="C43" s="4" t="str">
        <f>IFERROR(VLOOKUP(B43,Шығармалар!$B$2:$C$12,2,0),"")</f>
        <v/>
      </c>
      <c r="D43" s="6"/>
      <c r="E43" s="6"/>
      <c r="F43" s="5" t="str">
        <f>IFERROR(VLOOKUP(D43,Ойындар!$B$2:$C$14,2,0),"")</f>
        <v/>
      </c>
      <c r="G43" s="6"/>
      <c r="H43" s="6"/>
      <c r="I43" s="7"/>
      <c r="J43" s="6"/>
    </row>
    <row r="44" spans="1:10" x14ac:dyDescent="0.35">
      <c r="A44" s="4">
        <v>43</v>
      </c>
      <c r="B44" s="6"/>
      <c r="C44" s="4" t="str">
        <f>IFERROR(VLOOKUP(B44,Шығармалар!$B$2:$C$12,2,0),"")</f>
        <v/>
      </c>
      <c r="D44" s="6"/>
      <c r="E44" s="6"/>
      <c r="F44" s="5" t="str">
        <f>IFERROR(VLOOKUP(D44,Ойындар!$B$2:$C$14,2,0),"")</f>
        <v/>
      </c>
      <c r="G44" s="6"/>
      <c r="H44" s="6"/>
      <c r="I44" s="7"/>
      <c r="J44" s="6"/>
    </row>
    <row r="45" spans="1:10" x14ac:dyDescent="0.35">
      <c r="A45" s="4">
        <v>44</v>
      </c>
      <c r="B45" s="6"/>
      <c r="C45" s="4" t="str">
        <f>IFERROR(VLOOKUP(B45,Шығармалар!$B$2:$C$12,2,0),"")</f>
        <v/>
      </c>
      <c r="D45" s="6"/>
      <c r="E45" s="6"/>
      <c r="F45" s="5" t="str">
        <f>IFERROR(VLOOKUP(D45,Ойындар!$B$2:$C$14,2,0),"")</f>
        <v/>
      </c>
      <c r="G45" s="6"/>
      <c r="H45" s="6"/>
      <c r="I45" s="7"/>
      <c r="J45" s="6"/>
    </row>
    <row r="46" spans="1:10" x14ac:dyDescent="0.35">
      <c r="A46" s="4">
        <v>45</v>
      </c>
      <c r="B46" s="6"/>
      <c r="C46" s="4" t="str">
        <f>IFERROR(VLOOKUP(B46,Шығармалар!$B$2:$C$12,2,0),"")</f>
        <v/>
      </c>
      <c r="D46" s="6"/>
      <c r="E46" s="6"/>
      <c r="F46" s="5" t="str">
        <f>IFERROR(VLOOKUP(D46,Ойындар!$B$2:$C$14,2,0),"")</f>
        <v/>
      </c>
      <c r="G46" s="6"/>
      <c r="H46" s="6"/>
      <c r="I46" s="7"/>
      <c r="J46" s="6"/>
    </row>
    <row r="47" spans="1:10" x14ac:dyDescent="0.35">
      <c r="A47" s="4">
        <v>46</v>
      </c>
      <c r="B47" s="6"/>
      <c r="C47" s="4" t="str">
        <f>IFERROR(VLOOKUP(B47,Шығармалар!$B$2:$C$12,2,0),"")</f>
        <v/>
      </c>
      <c r="D47" s="6"/>
      <c r="E47" s="6"/>
      <c r="F47" s="5" t="str">
        <f>IFERROR(VLOOKUP(D47,Ойындар!$B$2:$C$14,2,0),"")</f>
        <v/>
      </c>
      <c r="G47" s="6"/>
      <c r="H47" s="6"/>
      <c r="I47" s="7"/>
      <c r="J47" s="6"/>
    </row>
    <row r="48" spans="1:10" x14ac:dyDescent="0.35">
      <c r="A48" s="4">
        <v>47</v>
      </c>
      <c r="B48" s="6"/>
      <c r="C48" s="4" t="str">
        <f>IFERROR(VLOOKUP(B48,Шығармалар!$B$2:$C$12,2,0),"")</f>
        <v/>
      </c>
      <c r="D48" s="6"/>
      <c r="E48" s="6"/>
      <c r="F48" s="5" t="str">
        <f>IFERROR(VLOOKUP(D48,Ойындар!$B$2:$C$14,2,0),"")</f>
        <v/>
      </c>
      <c r="G48" s="6"/>
      <c r="H48" s="6"/>
      <c r="I48" s="7"/>
      <c r="J48" s="6"/>
    </row>
    <row r="49" spans="1:10" x14ac:dyDescent="0.35">
      <c r="A49" s="4">
        <v>48</v>
      </c>
      <c r="B49" s="6"/>
      <c r="C49" s="4" t="str">
        <f>IFERROR(VLOOKUP(B49,Шығармалар!$B$2:$C$12,2,0),"")</f>
        <v/>
      </c>
      <c r="D49" s="6"/>
      <c r="E49" s="6"/>
      <c r="F49" s="5" t="str">
        <f>IFERROR(VLOOKUP(D49,Ойындар!$B$2:$C$14,2,0),"")</f>
        <v/>
      </c>
      <c r="G49" s="6"/>
      <c r="H49" s="6"/>
      <c r="I49" s="7"/>
      <c r="J49" s="6"/>
    </row>
    <row r="50" spans="1:10" x14ac:dyDescent="0.35">
      <c r="A50" s="4">
        <v>49</v>
      </c>
      <c r="B50" s="6"/>
      <c r="C50" s="4" t="str">
        <f>IFERROR(VLOOKUP(B50,Шығармалар!$B$2:$C$12,2,0),"")</f>
        <v/>
      </c>
      <c r="D50" s="6"/>
      <c r="E50" s="6"/>
      <c r="F50" s="5" t="str">
        <f>IFERROR(VLOOKUP(D50,Ойындар!$B$2:$C$14,2,0),"")</f>
        <v/>
      </c>
      <c r="G50" s="6"/>
      <c r="H50" s="6"/>
      <c r="I50" s="7"/>
      <c r="J50" s="6"/>
    </row>
    <row r="51" spans="1:10" x14ac:dyDescent="0.35">
      <c r="A51" s="4">
        <v>50</v>
      </c>
      <c r="B51" s="6"/>
      <c r="C51" s="4" t="str">
        <f>IFERROR(VLOOKUP(B51,Шығармалар!$B$2:$C$12,2,0),"")</f>
        <v/>
      </c>
      <c r="D51" s="6"/>
      <c r="E51" s="6"/>
      <c r="F51" s="5" t="str">
        <f>IFERROR(VLOOKUP(D51,Ойындар!$B$2:$C$14,2,0),"")</f>
        <v/>
      </c>
      <c r="G51" s="6"/>
      <c r="H51" s="6"/>
      <c r="I51" s="7"/>
      <c r="J51" s="6"/>
    </row>
    <row r="52" spans="1:10" x14ac:dyDescent="0.35">
      <c r="A52" s="4">
        <v>51</v>
      </c>
      <c r="B52" s="6"/>
      <c r="C52" s="4" t="str">
        <f>IFERROR(VLOOKUP(B52,Шығармалар!$B$2:$C$12,2,0),"")</f>
        <v/>
      </c>
      <c r="D52" s="6"/>
      <c r="E52" s="6"/>
      <c r="F52" s="5" t="str">
        <f>IFERROR(VLOOKUP(D52,Ойындар!$B$2:$C$14,2,0),"")</f>
        <v/>
      </c>
      <c r="G52" s="6"/>
      <c r="H52" s="6"/>
      <c r="I52" s="7"/>
      <c r="J52" s="6"/>
    </row>
    <row r="53" spans="1:10" x14ac:dyDescent="0.35">
      <c r="A53" s="4">
        <v>52</v>
      </c>
      <c r="B53" s="6"/>
      <c r="C53" s="4" t="str">
        <f>IFERROR(VLOOKUP(B53,Шығармалар!$B$2:$C$12,2,0),"")</f>
        <v/>
      </c>
      <c r="D53" s="6"/>
      <c r="E53" s="6"/>
      <c r="F53" s="5" t="str">
        <f>IFERROR(VLOOKUP(D53,Ойындар!$B$2:$C$14,2,0),"")</f>
        <v/>
      </c>
      <c r="G53" s="6"/>
      <c r="H53" s="6"/>
      <c r="I53" s="7"/>
      <c r="J53" s="6"/>
    </row>
    <row r="54" spans="1:10" x14ac:dyDescent="0.35">
      <c r="A54" s="4">
        <v>53</v>
      </c>
      <c r="B54" s="6"/>
      <c r="C54" s="4" t="str">
        <f>IFERROR(VLOOKUP(B54,Шығармалар!$B$2:$C$12,2,0),"")</f>
        <v/>
      </c>
      <c r="D54" s="6"/>
      <c r="E54" s="6"/>
      <c r="F54" s="5" t="str">
        <f>IFERROR(VLOOKUP(D54,Ойындар!$B$2:$C$14,2,0),"")</f>
        <v/>
      </c>
      <c r="G54" s="6"/>
      <c r="H54" s="6"/>
      <c r="I54" s="7"/>
      <c r="J54" s="6"/>
    </row>
    <row r="55" spans="1:10" x14ac:dyDescent="0.35">
      <c r="A55" s="4">
        <v>54</v>
      </c>
      <c r="B55" s="6"/>
      <c r="C55" s="4" t="str">
        <f>IFERROR(VLOOKUP(B55,Шығармалар!$B$2:$C$12,2,0),"")</f>
        <v/>
      </c>
      <c r="D55" s="6"/>
      <c r="E55" s="6"/>
      <c r="F55" s="5" t="str">
        <f>IFERROR(VLOOKUP(D55,Ойындар!$B$2:$C$14,2,0),"")</f>
        <v/>
      </c>
      <c r="G55" s="6"/>
      <c r="H55" s="6"/>
      <c r="I55" s="7"/>
      <c r="J55" s="6"/>
    </row>
    <row r="56" spans="1:10" x14ac:dyDescent="0.35">
      <c r="A56" s="4">
        <v>55</v>
      </c>
      <c r="B56" s="6"/>
      <c r="C56" s="4" t="str">
        <f>IFERROR(VLOOKUP(B56,Шығармалар!$B$2:$C$12,2,0),"")</f>
        <v/>
      </c>
      <c r="D56" s="6"/>
      <c r="E56" s="6"/>
      <c r="F56" s="5" t="str">
        <f>IFERROR(VLOOKUP(D56,Ойындар!$B$2:$C$14,2,0),"")</f>
        <v/>
      </c>
      <c r="G56" s="6"/>
      <c r="H56" s="6"/>
      <c r="I56" s="7"/>
      <c r="J56" s="6"/>
    </row>
    <row r="57" spans="1:10" x14ac:dyDescent="0.35">
      <c r="A57" s="4">
        <v>56</v>
      </c>
      <c r="B57" s="6"/>
      <c r="C57" s="4" t="str">
        <f>IFERROR(VLOOKUP(B57,Шығармалар!$B$2:$C$12,2,0),"")</f>
        <v/>
      </c>
      <c r="D57" s="6"/>
      <c r="E57" s="6"/>
      <c r="F57" s="5" t="str">
        <f>IFERROR(VLOOKUP(D57,Ойындар!$B$2:$C$14,2,0),"")</f>
        <v/>
      </c>
      <c r="G57" s="6"/>
      <c r="H57" s="6"/>
      <c r="I57" s="7"/>
      <c r="J57" s="6"/>
    </row>
    <row r="58" spans="1:10" x14ac:dyDescent="0.35">
      <c r="A58" s="4">
        <v>57</v>
      </c>
      <c r="B58" s="6"/>
      <c r="C58" s="4" t="str">
        <f>IFERROR(VLOOKUP(B58,Шығармалар!$B$2:$C$12,2,0),"")</f>
        <v/>
      </c>
      <c r="D58" s="6"/>
      <c r="E58" s="6"/>
      <c r="F58" s="5" t="str">
        <f>IFERROR(VLOOKUP(D58,Ойындар!$B$2:$C$14,2,0),"")</f>
        <v/>
      </c>
      <c r="G58" s="6"/>
      <c r="H58" s="6"/>
      <c r="I58" s="7"/>
      <c r="J58" s="6"/>
    </row>
    <row r="59" spans="1:10" x14ac:dyDescent="0.35">
      <c r="A59" s="4">
        <v>58</v>
      </c>
      <c r="B59" s="6"/>
      <c r="C59" s="4" t="str">
        <f>IFERROR(VLOOKUP(B59,Шығармалар!$B$2:$C$12,2,0),"")</f>
        <v/>
      </c>
      <c r="D59" s="6"/>
      <c r="E59" s="6"/>
      <c r="F59" s="5" t="str">
        <f>IFERROR(VLOOKUP(D59,Ойындар!$B$2:$C$14,2,0),"")</f>
        <v/>
      </c>
      <c r="G59" s="6"/>
      <c r="H59" s="6"/>
      <c r="I59" s="7"/>
      <c r="J59" s="6"/>
    </row>
    <row r="60" spans="1:10" x14ac:dyDescent="0.35">
      <c r="A60" s="4">
        <v>59</v>
      </c>
      <c r="B60" s="6"/>
      <c r="C60" s="4" t="str">
        <f>IFERROR(VLOOKUP(B60,Шығармалар!$B$2:$C$12,2,0),"")</f>
        <v/>
      </c>
      <c r="D60" s="6"/>
      <c r="E60" s="6"/>
      <c r="F60" s="5" t="str">
        <f>IFERROR(VLOOKUP(D60,Ойындар!$B$2:$C$14,2,0),"")</f>
        <v/>
      </c>
      <c r="G60" s="6"/>
      <c r="H60" s="6"/>
      <c r="I60" s="7"/>
      <c r="J60" s="6"/>
    </row>
    <row r="61" spans="1:10" x14ac:dyDescent="0.35">
      <c r="A61" s="4">
        <v>60</v>
      </c>
      <c r="B61" s="6"/>
      <c r="C61" s="4" t="str">
        <f>IFERROR(VLOOKUP(B61,Шығармалар!$B$2:$C$12,2,0),"")</f>
        <v/>
      </c>
      <c r="D61" s="6"/>
      <c r="E61" s="6"/>
      <c r="F61" s="5" t="str">
        <f>IFERROR(VLOOKUP(D61,Ойындар!$B$2:$C$14,2,0),"")</f>
        <v/>
      </c>
      <c r="G61" s="6"/>
      <c r="H61" s="6"/>
      <c r="I61" s="7"/>
      <c r="J61" s="6"/>
    </row>
    <row r="62" spans="1:10" x14ac:dyDescent="0.35">
      <c r="A62" s="4">
        <v>61</v>
      </c>
      <c r="B62" s="6"/>
      <c r="C62" s="4" t="str">
        <f>IFERROR(VLOOKUP(B62,Шығармалар!$B$2:$C$12,2,0),"")</f>
        <v/>
      </c>
      <c r="D62" s="6"/>
      <c r="E62" s="6"/>
      <c r="F62" s="5" t="str">
        <f>IFERROR(VLOOKUP(D62,Ойындар!$B$2:$C$14,2,0),"")</f>
        <v/>
      </c>
      <c r="G62" s="6"/>
      <c r="H62" s="6"/>
      <c r="I62" s="7"/>
      <c r="J62" s="6"/>
    </row>
    <row r="63" spans="1:10" x14ac:dyDescent="0.35">
      <c r="A63" s="4">
        <v>62</v>
      </c>
      <c r="B63" s="6"/>
      <c r="C63" s="4" t="str">
        <f>IFERROR(VLOOKUP(B63,Шығармалар!$B$2:$C$12,2,0),"")</f>
        <v/>
      </c>
      <c r="D63" s="6"/>
      <c r="E63" s="6"/>
      <c r="F63" s="5" t="str">
        <f>IFERROR(VLOOKUP(D63,Ойындар!$B$2:$C$14,2,0),"")</f>
        <v/>
      </c>
      <c r="G63" s="6"/>
      <c r="H63" s="6"/>
      <c r="I63" s="7"/>
      <c r="J63" s="6"/>
    </row>
    <row r="64" spans="1:10" x14ac:dyDescent="0.35">
      <c r="A64" s="4">
        <v>63</v>
      </c>
      <c r="B64" s="6"/>
      <c r="C64" s="4" t="str">
        <f>IFERROR(VLOOKUP(B64,Шығармалар!$B$2:$C$12,2,0),"")</f>
        <v/>
      </c>
      <c r="D64" s="6"/>
      <c r="E64" s="6"/>
      <c r="F64" s="5" t="str">
        <f>IFERROR(VLOOKUP(D64,Ойындар!$B$2:$C$14,2,0),"")</f>
        <v/>
      </c>
      <c r="G64" s="6"/>
      <c r="H64" s="6"/>
      <c r="I64" s="7"/>
      <c r="J64" s="6"/>
    </row>
    <row r="65" spans="1:10" x14ac:dyDescent="0.35">
      <c r="A65" s="4">
        <v>64</v>
      </c>
      <c r="B65" s="6"/>
      <c r="C65" s="4" t="str">
        <f>IFERROR(VLOOKUP(B65,Шығармалар!$B$2:$C$12,2,0),"")</f>
        <v/>
      </c>
      <c r="D65" s="6"/>
      <c r="E65" s="6"/>
      <c r="F65" s="5" t="str">
        <f>IFERROR(VLOOKUP(D65,Ойындар!$B$2:$C$14,2,0),"")</f>
        <v/>
      </c>
      <c r="G65" s="6"/>
      <c r="H65" s="6"/>
      <c r="I65" s="7"/>
      <c r="J65" s="6"/>
    </row>
    <row r="66" spans="1:10" x14ac:dyDescent="0.35">
      <c r="A66" s="4">
        <v>65</v>
      </c>
      <c r="B66" s="6"/>
      <c r="C66" s="4" t="str">
        <f>IFERROR(VLOOKUP(B66,Шығармалар!$B$2:$C$12,2,0),"")</f>
        <v/>
      </c>
      <c r="D66" s="6"/>
      <c r="E66" s="6"/>
      <c r="F66" s="5" t="str">
        <f>IFERROR(VLOOKUP(D66,Ойындар!$B$2:$C$14,2,0),"")</f>
        <v/>
      </c>
      <c r="G66" s="6"/>
      <c r="H66" s="6"/>
      <c r="I66" s="7"/>
      <c r="J66" s="6"/>
    </row>
    <row r="67" spans="1:10" x14ac:dyDescent="0.35">
      <c r="A67" s="4">
        <v>66</v>
      </c>
      <c r="B67" s="6"/>
      <c r="C67" s="4" t="str">
        <f>IFERROR(VLOOKUP(B67,Шығармалар!$B$2:$C$12,2,0),"")</f>
        <v/>
      </c>
      <c r="D67" s="6"/>
      <c r="E67" s="6"/>
      <c r="F67" s="5" t="str">
        <f>IFERROR(VLOOKUP(D67,Ойындар!$B$2:$C$14,2,0),"")</f>
        <v/>
      </c>
      <c r="G67" s="6"/>
      <c r="H67" s="6"/>
      <c r="I67" s="7"/>
      <c r="J67" s="6"/>
    </row>
    <row r="68" spans="1:10" x14ac:dyDescent="0.35">
      <c r="A68" s="4">
        <v>67</v>
      </c>
      <c r="B68" s="6"/>
      <c r="C68" s="4" t="str">
        <f>IFERROR(VLOOKUP(B68,Шығармалар!$B$2:$C$12,2,0),"")</f>
        <v/>
      </c>
      <c r="D68" s="6"/>
      <c r="E68" s="6"/>
      <c r="F68" s="5" t="str">
        <f>IFERROR(VLOOKUP(D68,Ойындар!$B$2:$C$14,2,0),"")</f>
        <v/>
      </c>
      <c r="G68" s="6"/>
      <c r="H68" s="6"/>
      <c r="I68" s="7"/>
      <c r="J68" s="6"/>
    </row>
    <row r="69" spans="1:10" x14ac:dyDescent="0.35">
      <c r="A69" s="4">
        <v>68</v>
      </c>
      <c r="B69" s="6"/>
      <c r="C69" s="4" t="str">
        <f>IFERROR(VLOOKUP(B69,Шығармалар!$B$2:$C$12,2,0),"")</f>
        <v/>
      </c>
      <c r="D69" s="6"/>
      <c r="E69" s="6"/>
      <c r="F69" s="5" t="str">
        <f>IFERROR(VLOOKUP(D69,Ойындар!$B$2:$C$14,2,0),"")</f>
        <v/>
      </c>
      <c r="G69" s="6"/>
      <c r="H69" s="6"/>
      <c r="I69" s="7"/>
      <c r="J69" s="6"/>
    </row>
    <row r="70" spans="1:10" x14ac:dyDescent="0.35">
      <c r="A70" s="4">
        <v>69</v>
      </c>
      <c r="B70" s="6"/>
      <c r="C70" s="4" t="str">
        <f>IFERROR(VLOOKUP(B70,Шығармалар!$B$2:$C$12,2,0),"")</f>
        <v/>
      </c>
      <c r="D70" s="6"/>
      <c r="E70" s="6"/>
      <c r="F70" s="5" t="str">
        <f>IFERROR(VLOOKUP(D70,Ойындар!$B$2:$C$14,2,0),"")</f>
        <v/>
      </c>
      <c r="G70" s="6"/>
      <c r="H70" s="6"/>
      <c r="I70" s="7"/>
      <c r="J70" s="6"/>
    </row>
    <row r="71" spans="1:10" x14ac:dyDescent="0.35">
      <c r="A71" s="4">
        <v>70</v>
      </c>
      <c r="B71" s="6"/>
      <c r="C71" s="4" t="str">
        <f>IFERROR(VLOOKUP(B71,Шығармалар!$B$2:$C$12,2,0),"")</f>
        <v/>
      </c>
      <c r="D71" s="6"/>
      <c r="E71" s="6"/>
      <c r="F71" s="5" t="str">
        <f>IFERROR(VLOOKUP(D71,Ойындар!$B$2:$C$14,2,0),"")</f>
        <v/>
      </c>
      <c r="G71" s="6"/>
      <c r="H71" s="6"/>
      <c r="I71" s="7"/>
      <c r="J71" s="6"/>
    </row>
    <row r="72" spans="1:10" x14ac:dyDescent="0.35">
      <c r="A72" s="4">
        <v>71</v>
      </c>
      <c r="B72" s="6"/>
      <c r="C72" s="4" t="str">
        <f>IFERROR(VLOOKUP(B72,Шығармалар!$B$2:$C$12,2,0),"")</f>
        <v/>
      </c>
      <c r="D72" s="6"/>
      <c r="E72" s="6"/>
      <c r="F72" s="5" t="str">
        <f>IFERROR(VLOOKUP(D72,Ойындар!$B$2:$C$14,2,0),"")</f>
        <v/>
      </c>
      <c r="G72" s="6"/>
      <c r="H72" s="6"/>
      <c r="I72" s="7"/>
      <c r="J72" s="6"/>
    </row>
    <row r="73" spans="1:10" x14ac:dyDescent="0.35">
      <c r="A73" s="4">
        <v>72</v>
      </c>
      <c r="B73" s="6"/>
      <c r="C73" s="4" t="str">
        <f>IFERROR(VLOOKUP(B73,Шығармалар!$B$2:$C$12,2,0),"")</f>
        <v/>
      </c>
      <c r="D73" s="6"/>
      <c r="E73" s="6"/>
      <c r="F73" s="5" t="str">
        <f>IFERROR(VLOOKUP(D73,Ойындар!$B$2:$C$14,2,0),"")</f>
        <v/>
      </c>
      <c r="G73" s="6"/>
      <c r="H73" s="6"/>
      <c r="I73" s="7"/>
      <c r="J73" s="6"/>
    </row>
    <row r="74" spans="1:10" x14ac:dyDescent="0.35">
      <c r="A74" s="4">
        <v>73</v>
      </c>
      <c r="B74" s="6"/>
      <c r="C74" s="4" t="str">
        <f>IFERROR(VLOOKUP(B74,Шығармалар!$B$2:$C$12,2,0),"")</f>
        <v/>
      </c>
      <c r="D74" s="6"/>
      <c r="E74" s="6"/>
      <c r="F74" s="5" t="str">
        <f>IFERROR(VLOOKUP(D74,Ойындар!$B$2:$C$14,2,0),"")</f>
        <v/>
      </c>
      <c r="G74" s="6"/>
      <c r="H74" s="6"/>
      <c r="I74" s="7"/>
      <c r="J74" s="6"/>
    </row>
    <row r="75" spans="1:10" x14ac:dyDescent="0.35">
      <c r="A75" s="4">
        <v>74</v>
      </c>
      <c r="B75" s="6"/>
      <c r="C75" s="4" t="str">
        <f>IFERROR(VLOOKUP(B75,Шығармалар!$B$2:$C$12,2,0),"")</f>
        <v/>
      </c>
      <c r="D75" s="6"/>
      <c r="E75" s="6"/>
      <c r="F75" s="5" t="str">
        <f>IFERROR(VLOOKUP(D75,Ойындар!$B$2:$C$14,2,0),"")</f>
        <v/>
      </c>
      <c r="G75" s="6"/>
      <c r="H75" s="6"/>
      <c r="I75" s="7"/>
      <c r="J75" s="6"/>
    </row>
    <row r="76" spans="1:10" x14ac:dyDescent="0.35">
      <c r="A76" s="4">
        <v>75</v>
      </c>
      <c r="B76" s="6"/>
      <c r="C76" s="4" t="str">
        <f>IFERROR(VLOOKUP(B76,Шығармалар!$B$2:$C$12,2,0),"")</f>
        <v/>
      </c>
      <c r="D76" s="6"/>
      <c r="E76" s="6"/>
      <c r="F76" s="5" t="str">
        <f>IFERROR(VLOOKUP(D76,Ойындар!$B$2:$C$14,2,0),"")</f>
        <v/>
      </c>
      <c r="G76" s="6"/>
      <c r="H76" s="6"/>
      <c r="I76" s="7"/>
      <c r="J76" s="6"/>
    </row>
    <row r="77" spans="1:10" x14ac:dyDescent="0.35">
      <c r="A77" s="4">
        <v>76</v>
      </c>
      <c r="B77" s="6"/>
      <c r="C77" s="4" t="str">
        <f>IFERROR(VLOOKUP(B77,Шығармалар!$B$2:$C$12,2,0),"")</f>
        <v/>
      </c>
      <c r="D77" s="6"/>
      <c r="E77" s="6"/>
      <c r="F77" s="5" t="str">
        <f>IFERROR(VLOOKUP(D77,Ойындар!$B$2:$C$14,2,0),"")</f>
        <v/>
      </c>
      <c r="G77" s="6"/>
      <c r="H77" s="6"/>
      <c r="I77" s="7"/>
      <c r="J77" s="6"/>
    </row>
    <row r="78" spans="1:10" x14ac:dyDescent="0.35">
      <c r="A78" s="4">
        <v>77</v>
      </c>
      <c r="B78" s="6"/>
      <c r="C78" s="4" t="str">
        <f>IFERROR(VLOOKUP(B78,Шығармалар!$B$2:$C$12,2,0),"")</f>
        <v/>
      </c>
      <c r="D78" s="6"/>
      <c r="E78" s="6"/>
      <c r="F78" s="5" t="str">
        <f>IFERROR(VLOOKUP(D78,Ойындар!$B$2:$C$14,2,0),"")</f>
        <v/>
      </c>
      <c r="G78" s="6"/>
      <c r="H78" s="6"/>
      <c r="I78" s="7"/>
      <c r="J78" s="6"/>
    </row>
    <row r="79" spans="1:10" x14ac:dyDescent="0.35">
      <c r="A79" s="4">
        <v>78</v>
      </c>
      <c r="B79" s="6"/>
      <c r="C79" s="4" t="str">
        <f>IFERROR(VLOOKUP(B79,Шығармалар!$B$2:$C$12,2,0),"")</f>
        <v/>
      </c>
      <c r="D79" s="6"/>
      <c r="E79" s="6"/>
      <c r="F79" s="5" t="str">
        <f>IFERROR(VLOOKUP(D79,Ойындар!$B$2:$C$14,2,0),"")</f>
        <v/>
      </c>
      <c r="G79" s="6"/>
      <c r="H79" s="6"/>
      <c r="I79" s="7"/>
      <c r="J79" s="6"/>
    </row>
    <row r="80" spans="1:10" x14ac:dyDescent="0.35">
      <c r="A80" s="4">
        <v>79</v>
      </c>
      <c r="B80" s="6"/>
      <c r="C80" s="4" t="str">
        <f>IFERROR(VLOOKUP(B80,Шығармалар!$B$2:$C$12,2,0),"")</f>
        <v/>
      </c>
      <c r="D80" s="6"/>
      <c r="E80" s="6"/>
      <c r="F80" s="5" t="str">
        <f>IFERROR(VLOOKUP(D80,Ойындар!$B$2:$C$14,2,0),"")</f>
        <v/>
      </c>
      <c r="G80" s="6"/>
      <c r="H80" s="6"/>
      <c r="I80" s="7"/>
      <c r="J80" s="6"/>
    </row>
    <row r="81" spans="1:10" x14ac:dyDescent="0.35">
      <c r="A81" s="4">
        <v>80</v>
      </c>
      <c r="B81" s="6"/>
      <c r="C81" s="4" t="str">
        <f>IFERROR(VLOOKUP(B81,Шығармалар!$B$2:$C$12,2,0),"")</f>
        <v/>
      </c>
      <c r="D81" s="6"/>
      <c r="E81" s="6"/>
      <c r="F81" s="5" t="str">
        <f>IFERROR(VLOOKUP(D81,Ойындар!$B$2:$C$14,2,0),"")</f>
        <v/>
      </c>
      <c r="G81" s="6"/>
      <c r="H81" s="6"/>
      <c r="I81" s="7"/>
      <c r="J81" s="6"/>
    </row>
  </sheetData>
  <dataValidations count="1">
    <dataValidation type="list" allowBlank="1"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formula1>"С,Б,Қ,Т,Ш"</formula1>
    </dataValidation>
  </dataValidations>
  <pageMargins left="0.75" right="0.75" top="1" bottom="1" header="0.5" footer="0.5"/>
  <pageSetup paperSize="9" fitToHeight="0" orientation="landscape"/>
  <extLst>
    <ext xmlns:x14="http://schemas.microsoft.com/office/spreadsheetml/2009/9/main" uri="{CCE6A557-97BC-4b89-ADB6-D9C93CAAB3DF}">
      <x14:dataValidations xmlns:xm="http://schemas.microsoft.com/office/excel/2006/main" count="2">
        <x14:dataValidation type="list" allowBlank="1">
          <x14:formula1>
            <xm:f>Ойындар!$B$2:$B$14</xm:f>
          </x14:formula1>
          <xm: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xm:sqref>
        </x14:dataValidation>
        <x14:dataValidation type="list" allowBlank="1">
          <x14:formula1>
            <xm:f>Шығармалар!$B$2:$B$12</xm:f>
          </x14:formula1>
          <xm:sqref>B2:B81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41"/>
  <sheetViews>
    <sheetView tabSelected="1" workbookViewId="0">
      <pane xSplit="2" ySplit="1" topLeftCell="C2" activePane="bottomRight" state="frozen"/>
      <selection pane="topRight"/>
      <selection pane="bottomLeft"/>
      <selection pane="bottomRight" activeCell="E15" sqref="E15"/>
    </sheetView>
  </sheetViews>
  <sheetFormatPr defaultRowHeight="14.5" x14ac:dyDescent="0.35"/>
  <cols>
    <col min="1" max="2" width="7" customWidth="1"/>
    <col min="3" max="26" width="11" customWidth="1"/>
  </cols>
  <sheetData>
    <row r="1" spans="1:26" ht="60" customHeight="1" x14ac:dyDescent="0.35">
      <c r="A1" s="3" t="s">
        <v>74</v>
      </c>
      <c r="B1" s="3" t="s">
        <v>75</v>
      </c>
      <c r="C1" s="3" t="s">
        <v>76</v>
      </c>
      <c r="D1" s="3" t="s">
        <v>77</v>
      </c>
      <c r="E1" s="3" t="s">
        <v>78</v>
      </c>
      <c r="F1" s="3" t="s">
        <v>79</v>
      </c>
      <c r="G1" s="3" t="s">
        <v>80</v>
      </c>
      <c r="H1" s="3" t="s">
        <v>81</v>
      </c>
      <c r="I1" s="3" t="s">
        <v>82</v>
      </c>
      <c r="J1" s="3" t="s">
        <v>83</v>
      </c>
      <c r="K1" s="3" t="s">
        <v>84</v>
      </c>
      <c r="L1" s="3" t="s">
        <v>85</v>
      </c>
      <c r="M1" s="3" t="s">
        <v>86</v>
      </c>
      <c r="N1" s="3" t="s">
        <v>87</v>
      </c>
      <c r="O1" s="3" t="s">
        <v>88</v>
      </c>
      <c r="P1" s="3" t="s">
        <v>89</v>
      </c>
      <c r="Q1" s="3" t="s">
        <v>90</v>
      </c>
      <c r="R1" s="3" t="s">
        <v>91</v>
      </c>
      <c r="S1" s="3" t="s">
        <v>92</v>
      </c>
      <c r="T1" s="3" t="s">
        <v>93</v>
      </c>
      <c r="U1" s="3" t="s">
        <v>94</v>
      </c>
      <c r="V1" s="3" t="s">
        <v>95</v>
      </c>
      <c r="W1" s="3" t="s">
        <v>96</v>
      </c>
      <c r="X1" s="3" t="s">
        <v>97</v>
      </c>
      <c r="Y1" s="3" t="s">
        <v>98</v>
      </c>
      <c r="Z1" s="3" t="s">
        <v>99</v>
      </c>
    </row>
    <row r="2" spans="1:26" x14ac:dyDescent="0.35">
      <c r="A2" s="4" t="s">
        <v>100</v>
      </c>
      <c r="B2" s="7"/>
      <c r="C2" s="7"/>
      <c r="D2" s="7"/>
      <c r="E2" s="7"/>
      <c r="F2" s="7"/>
      <c r="G2" s="7"/>
      <c r="H2" s="7"/>
      <c r="I2" s="7"/>
      <c r="J2" s="7"/>
      <c r="K2" s="7"/>
      <c r="L2" s="7"/>
      <c r="M2" s="7"/>
      <c r="N2" s="7"/>
      <c r="O2" s="7"/>
      <c r="P2" s="7"/>
      <c r="Q2" s="7"/>
      <c r="R2" s="7"/>
      <c r="S2" s="7"/>
      <c r="T2" s="7"/>
      <c r="U2" s="7"/>
      <c r="V2" s="7"/>
      <c r="W2" s="7"/>
      <c r="X2" s="7"/>
      <c r="Y2" s="7"/>
      <c r="Z2" s="7"/>
    </row>
    <row r="3" spans="1:26" x14ac:dyDescent="0.35">
      <c r="A3" s="4" t="s">
        <v>101</v>
      </c>
      <c r="B3" s="7"/>
      <c r="C3" s="7"/>
      <c r="D3" s="7"/>
      <c r="E3" s="7"/>
      <c r="F3" s="7"/>
      <c r="G3" s="7"/>
      <c r="H3" s="7"/>
      <c r="I3" s="7"/>
      <c r="J3" s="7"/>
      <c r="K3" s="7"/>
      <c r="L3" s="7"/>
      <c r="M3" s="7"/>
      <c r="N3" s="7"/>
      <c r="O3" s="7"/>
      <c r="P3" s="7"/>
      <c r="Q3" s="7"/>
      <c r="R3" s="7"/>
      <c r="S3" s="7"/>
      <c r="T3" s="7"/>
      <c r="U3" s="7"/>
      <c r="V3" s="7"/>
      <c r="W3" s="7"/>
      <c r="X3" s="7"/>
      <c r="Y3" s="7"/>
      <c r="Z3" s="7"/>
    </row>
    <row r="4" spans="1:26" x14ac:dyDescent="0.35">
      <c r="A4" s="4" t="s">
        <v>102</v>
      </c>
      <c r="B4" s="7"/>
      <c r="C4" s="7"/>
      <c r="D4" s="7"/>
      <c r="E4" s="7"/>
      <c r="F4" s="7"/>
      <c r="G4" s="7"/>
      <c r="H4" s="7"/>
      <c r="I4" s="7"/>
      <c r="J4" s="7"/>
      <c r="K4" s="7"/>
      <c r="L4" s="7"/>
      <c r="M4" s="7"/>
      <c r="N4" s="7"/>
      <c r="O4" s="7"/>
      <c r="P4" s="7"/>
      <c r="Q4" s="7"/>
      <c r="R4" s="7"/>
      <c r="S4" s="7"/>
      <c r="T4" s="7"/>
      <c r="U4" s="7"/>
      <c r="V4" s="7"/>
      <c r="W4" s="7"/>
      <c r="X4" s="7"/>
      <c r="Y4" s="7"/>
      <c r="Z4" s="7"/>
    </row>
    <row r="5" spans="1:26" x14ac:dyDescent="0.35">
      <c r="A5" s="4" t="s">
        <v>103</v>
      </c>
      <c r="B5" s="7"/>
      <c r="C5" s="7"/>
      <c r="D5" s="7"/>
      <c r="E5" s="7"/>
      <c r="F5" s="7"/>
      <c r="G5" s="7"/>
      <c r="H5" s="7"/>
      <c r="I5" s="7"/>
      <c r="J5" s="7"/>
      <c r="K5" s="7"/>
      <c r="L5" s="7"/>
      <c r="M5" s="7"/>
      <c r="N5" s="7"/>
      <c r="O5" s="7"/>
      <c r="P5" s="7"/>
      <c r="Q5" s="7"/>
      <c r="R5" s="7"/>
      <c r="S5" s="7"/>
      <c r="T5" s="7"/>
      <c r="U5" s="7"/>
      <c r="V5" s="7"/>
      <c r="W5" s="7"/>
      <c r="X5" s="7"/>
      <c r="Y5" s="7"/>
      <c r="Z5" s="7"/>
    </row>
    <row r="6" spans="1:26" x14ac:dyDescent="0.35">
      <c r="A6" s="4" t="s">
        <v>104</v>
      </c>
      <c r="B6" s="7"/>
      <c r="C6" s="7"/>
      <c r="D6" s="7"/>
      <c r="E6" s="7"/>
      <c r="F6" s="7"/>
      <c r="G6" s="7"/>
      <c r="H6" s="7"/>
      <c r="I6" s="7"/>
      <c r="J6" s="7"/>
      <c r="K6" s="7"/>
      <c r="L6" s="7"/>
      <c r="M6" s="7"/>
      <c r="N6" s="7"/>
      <c r="O6" s="7"/>
      <c r="P6" s="7"/>
      <c r="Q6" s="7"/>
      <c r="R6" s="7"/>
      <c r="S6" s="7"/>
      <c r="T6" s="7"/>
      <c r="U6" s="7"/>
      <c r="V6" s="7"/>
      <c r="W6" s="7"/>
      <c r="X6" s="7"/>
      <c r="Y6" s="7"/>
      <c r="Z6" s="7"/>
    </row>
    <row r="7" spans="1:26" x14ac:dyDescent="0.35">
      <c r="A7" s="4" t="s">
        <v>105</v>
      </c>
      <c r="B7" s="7"/>
      <c r="C7" s="7"/>
      <c r="D7" s="7"/>
      <c r="E7" s="7"/>
      <c r="F7" s="7"/>
      <c r="G7" s="7"/>
      <c r="H7" s="7"/>
      <c r="I7" s="7"/>
      <c r="J7" s="7"/>
      <c r="K7" s="7"/>
      <c r="L7" s="7"/>
      <c r="M7" s="7"/>
      <c r="N7" s="7"/>
      <c r="O7" s="7"/>
      <c r="P7" s="7"/>
      <c r="Q7" s="7"/>
      <c r="R7" s="7"/>
      <c r="S7" s="7"/>
      <c r="T7" s="7"/>
      <c r="U7" s="7"/>
      <c r="V7" s="7"/>
      <c r="W7" s="7"/>
      <c r="X7" s="7"/>
      <c r="Y7" s="7"/>
      <c r="Z7" s="7"/>
    </row>
    <row r="8" spans="1:26" x14ac:dyDescent="0.35">
      <c r="A8" s="4" t="s">
        <v>106</v>
      </c>
      <c r="B8" s="7"/>
      <c r="C8" s="7"/>
      <c r="D8" s="7"/>
      <c r="E8" s="7"/>
      <c r="F8" s="7"/>
      <c r="G8" s="7"/>
      <c r="H8" s="7"/>
      <c r="I8" s="7"/>
      <c r="J8" s="7"/>
      <c r="K8" s="7"/>
      <c r="L8" s="7"/>
      <c r="M8" s="7"/>
      <c r="N8" s="7"/>
      <c r="O8" s="7"/>
      <c r="P8" s="7"/>
      <c r="Q8" s="7"/>
      <c r="R8" s="7"/>
      <c r="S8" s="7"/>
      <c r="T8" s="7"/>
      <c r="U8" s="7"/>
      <c r="V8" s="7"/>
      <c r="W8" s="7"/>
      <c r="X8" s="7"/>
      <c r="Y8" s="7"/>
      <c r="Z8" s="7"/>
    </row>
    <row r="9" spans="1:26" x14ac:dyDescent="0.35">
      <c r="A9" s="4" t="s">
        <v>107</v>
      </c>
      <c r="B9" s="7"/>
      <c r="C9" s="7"/>
      <c r="D9" s="7"/>
      <c r="E9" s="7"/>
      <c r="F9" s="7"/>
      <c r="G9" s="7"/>
      <c r="H9" s="7"/>
      <c r="I9" s="7"/>
      <c r="J9" s="7"/>
      <c r="K9" s="7"/>
      <c r="L9" s="7"/>
      <c r="M9" s="7"/>
      <c r="N9" s="7"/>
      <c r="O9" s="7"/>
      <c r="P9" s="7"/>
      <c r="Q9" s="7"/>
      <c r="R9" s="7"/>
      <c r="S9" s="7"/>
      <c r="T9" s="7"/>
      <c r="U9" s="7"/>
      <c r="V9" s="7"/>
      <c r="W9" s="7"/>
      <c r="X9" s="7"/>
      <c r="Y9" s="7"/>
      <c r="Z9" s="7"/>
    </row>
    <row r="10" spans="1:26" x14ac:dyDescent="0.35">
      <c r="A10" s="4" t="s">
        <v>108</v>
      </c>
      <c r="B10" s="7"/>
      <c r="C10" s="7"/>
      <c r="D10" s="7"/>
      <c r="E10" s="7"/>
      <c r="F10" s="7"/>
      <c r="G10" s="7"/>
      <c r="H10" s="7"/>
      <c r="I10" s="7"/>
      <c r="J10" s="7"/>
      <c r="K10" s="7"/>
      <c r="L10" s="7"/>
      <c r="M10" s="7"/>
      <c r="N10" s="7"/>
      <c r="O10" s="7"/>
      <c r="P10" s="7"/>
      <c r="Q10" s="7"/>
      <c r="R10" s="7"/>
      <c r="S10" s="7"/>
      <c r="T10" s="7"/>
      <c r="U10" s="7"/>
      <c r="V10" s="7"/>
      <c r="W10" s="7"/>
      <c r="X10" s="7"/>
      <c r="Y10" s="7"/>
      <c r="Z10" s="7"/>
    </row>
    <row r="11" spans="1:26" x14ac:dyDescent="0.35">
      <c r="A11" s="4" t="s">
        <v>109</v>
      </c>
      <c r="B11" s="7"/>
      <c r="C11" s="7"/>
      <c r="D11" s="7"/>
      <c r="E11" s="7"/>
      <c r="F11" s="7"/>
      <c r="G11" s="7"/>
      <c r="H11" s="7"/>
      <c r="I11" s="7"/>
      <c r="J11" s="7"/>
      <c r="K11" s="7"/>
      <c r="L11" s="7"/>
      <c r="M11" s="7"/>
      <c r="N11" s="7"/>
      <c r="O11" s="7"/>
      <c r="P11" s="7"/>
      <c r="Q11" s="7"/>
      <c r="R11" s="7"/>
      <c r="S11" s="7"/>
      <c r="T11" s="7"/>
      <c r="U11" s="7"/>
      <c r="V11" s="7"/>
      <c r="W11" s="7"/>
      <c r="X11" s="7"/>
      <c r="Y11" s="7"/>
      <c r="Z11" s="7"/>
    </row>
    <row r="12" spans="1:26" x14ac:dyDescent="0.35">
      <c r="A12" s="4" t="s">
        <v>110</v>
      </c>
      <c r="B12" s="7"/>
      <c r="C12" s="7"/>
      <c r="D12" s="7"/>
      <c r="E12" s="7"/>
      <c r="F12" s="7"/>
      <c r="G12" s="7"/>
      <c r="H12" s="7"/>
      <c r="I12" s="7"/>
      <c r="J12" s="7"/>
      <c r="K12" s="7"/>
      <c r="L12" s="7"/>
      <c r="M12" s="7"/>
      <c r="N12" s="7"/>
      <c r="O12" s="7"/>
      <c r="P12" s="7"/>
      <c r="Q12" s="7"/>
      <c r="R12" s="7"/>
      <c r="S12" s="7"/>
      <c r="T12" s="7"/>
      <c r="U12" s="7"/>
      <c r="V12" s="7"/>
      <c r="W12" s="7"/>
      <c r="X12" s="7"/>
      <c r="Y12" s="7"/>
      <c r="Z12" s="7"/>
    </row>
    <row r="13" spans="1:26" x14ac:dyDescent="0.35">
      <c r="A13" s="4" t="s">
        <v>111</v>
      </c>
      <c r="B13" s="7"/>
      <c r="C13" s="7"/>
      <c r="D13" s="7"/>
      <c r="E13" s="7"/>
      <c r="F13" s="7"/>
      <c r="G13" s="7"/>
      <c r="H13" s="7"/>
      <c r="I13" s="7"/>
      <c r="J13" s="7"/>
      <c r="K13" s="7"/>
      <c r="L13" s="7"/>
      <c r="M13" s="7"/>
      <c r="N13" s="7"/>
      <c r="O13" s="7"/>
      <c r="P13" s="7"/>
      <c r="Q13" s="7"/>
      <c r="R13" s="7"/>
      <c r="S13" s="7"/>
      <c r="T13" s="7"/>
      <c r="U13" s="7"/>
      <c r="V13" s="7"/>
      <c r="W13" s="7"/>
      <c r="X13" s="7"/>
      <c r="Y13" s="7"/>
      <c r="Z13" s="7"/>
    </row>
    <row r="14" spans="1:26" x14ac:dyDescent="0.35">
      <c r="A14" s="4" t="s">
        <v>112</v>
      </c>
      <c r="B14" s="7"/>
      <c r="C14" s="7"/>
      <c r="D14" s="7"/>
      <c r="E14" s="7"/>
      <c r="F14" s="7"/>
      <c r="G14" s="7"/>
      <c r="H14" s="7"/>
      <c r="I14" s="7"/>
      <c r="J14" s="7"/>
      <c r="K14" s="7"/>
      <c r="L14" s="7"/>
      <c r="M14" s="7"/>
      <c r="N14" s="7"/>
      <c r="O14" s="7"/>
      <c r="P14" s="7"/>
      <c r="Q14" s="7"/>
      <c r="R14" s="7"/>
      <c r="S14" s="7"/>
      <c r="T14" s="7"/>
      <c r="U14" s="7"/>
      <c r="V14" s="7"/>
      <c r="W14" s="7"/>
      <c r="X14" s="7"/>
      <c r="Y14" s="7"/>
      <c r="Z14" s="7"/>
    </row>
    <row r="15" spans="1:26" x14ac:dyDescent="0.35">
      <c r="A15" s="4" t="s">
        <v>113</v>
      </c>
      <c r="B15" s="7"/>
      <c r="C15" s="7"/>
      <c r="D15" s="7"/>
      <c r="E15" s="7"/>
      <c r="F15" s="7"/>
      <c r="G15" s="7"/>
      <c r="H15" s="7"/>
      <c r="I15" s="7"/>
      <c r="J15" s="7"/>
      <c r="K15" s="7"/>
      <c r="L15" s="7"/>
      <c r="M15" s="7"/>
      <c r="N15" s="7"/>
      <c r="O15" s="7"/>
      <c r="P15" s="7"/>
      <c r="Q15" s="7"/>
      <c r="R15" s="7"/>
      <c r="S15" s="7"/>
      <c r="T15" s="7"/>
      <c r="U15" s="7"/>
      <c r="V15" s="7"/>
      <c r="W15" s="7"/>
      <c r="X15" s="7"/>
      <c r="Y15" s="7"/>
      <c r="Z15" s="7"/>
    </row>
    <row r="16" spans="1:26" x14ac:dyDescent="0.35">
      <c r="A16" s="4" t="s">
        <v>114</v>
      </c>
      <c r="B16" s="7"/>
      <c r="C16" s="7"/>
      <c r="D16" s="7"/>
      <c r="E16" s="7"/>
      <c r="F16" s="7"/>
      <c r="G16" s="7"/>
      <c r="H16" s="7"/>
      <c r="I16" s="7"/>
      <c r="J16" s="7"/>
      <c r="K16" s="7"/>
      <c r="L16" s="7"/>
      <c r="M16" s="7"/>
      <c r="N16" s="7"/>
      <c r="O16" s="7"/>
      <c r="P16" s="7"/>
      <c r="Q16" s="7"/>
      <c r="R16" s="7"/>
      <c r="S16" s="7"/>
      <c r="T16" s="7"/>
      <c r="U16" s="7"/>
      <c r="V16" s="7"/>
      <c r="W16" s="7"/>
      <c r="X16" s="7"/>
      <c r="Y16" s="7"/>
      <c r="Z16" s="7"/>
    </row>
    <row r="17" spans="1:26" x14ac:dyDescent="0.35">
      <c r="A17" s="4" t="s">
        <v>115</v>
      </c>
      <c r="B17" s="7"/>
      <c r="C17" s="7"/>
      <c r="D17" s="7"/>
      <c r="E17" s="7"/>
      <c r="F17" s="7"/>
      <c r="G17" s="7"/>
      <c r="H17" s="7"/>
      <c r="I17" s="7"/>
      <c r="J17" s="7"/>
      <c r="K17" s="7"/>
      <c r="L17" s="7"/>
      <c r="M17" s="7"/>
      <c r="N17" s="7"/>
      <c r="O17" s="7"/>
      <c r="P17" s="7"/>
      <c r="Q17" s="7"/>
      <c r="R17" s="7"/>
      <c r="S17" s="7"/>
      <c r="T17" s="7"/>
      <c r="U17" s="7"/>
      <c r="V17" s="7"/>
      <c r="W17" s="7"/>
      <c r="X17" s="7"/>
      <c r="Y17" s="7"/>
      <c r="Z17" s="7"/>
    </row>
    <row r="18" spans="1:26" x14ac:dyDescent="0.35">
      <c r="A18" s="4" t="s">
        <v>116</v>
      </c>
      <c r="B18" s="7"/>
      <c r="C18" s="7"/>
      <c r="D18" s="7"/>
      <c r="E18" s="7"/>
      <c r="F18" s="7"/>
      <c r="G18" s="7"/>
      <c r="H18" s="7"/>
      <c r="I18" s="7"/>
      <c r="J18" s="7"/>
      <c r="K18" s="7"/>
      <c r="L18" s="7"/>
      <c r="M18" s="7"/>
      <c r="N18" s="7"/>
      <c r="O18" s="7"/>
      <c r="P18" s="7"/>
      <c r="Q18" s="7"/>
      <c r="R18" s="7"/>
      <c r="S18" s="7"/>
      <c r="T18" s="7"/>
      <c r="U18" s="7"/>
      <c r="V18" s="7"/>
      <c r="W18" s="7"/>
      <c r="X18" s="7"/>
      <c r="Y18" s="7"/>
      <c r="Z18" s="7"/>
    </row>
    <row r="19" spans="1:26" x14ac:dyDescent="0.35">
      <c r="A19" s="4" t="s">
        <v>117</v>
      </c>
      <c r="B19" s="7"/>
      <c r="C19" s="7"/>
      <c r="D19" s="7"/>
      <c r="E19" s="7"/>
      <c r="F19" s="7"/>
      <c r="G19" s="7"/>
      <c r="H19" s="7"/>
      <c r="I19" s="7"/>
      <c r="J19" s="7"/>
      <c r="K19" s="7"/>
      <c r="L19" s="7"/>
      <c r="M19" s="7"/>
      <c r="N19" s="7"/>
      <c r="O19" s="7"/>
      <c r="P19" s="7"/>
      <c r="Q19" s="7"/>
      <c r="R19" s="7"/>
      <c r="S19" s="7"/>
      <c r="T19" s="7"/>
      <c r="U19" s="7"/>
      <c r="V19" s="7"/>
      <c r="W19" s="7"/>
      <c r="X19" s="7"/>
      <c r="Y19" s="7"/>
      <c r="Z19" s="7"/>
    </row>
    <row r="20" spans="1:26" x14ac:dyDescent="0.35">
      <c r="A20" s="4" t="s">
        <v>118</v>
      </c>
      <c r="B20" s="7"/>
      <c r="C20" s="7"/>
      <c r="D20" s="7"/>
      <c r="E20" s="7"/>
      <c r="F20" s="7"/>
      <c r="G20" s="7"/>
      <c r="H20" s="7"/>
      <c r="I20" s="7"/>
      <c r="J20" s="7"/>
      <c r="K20" s="7"/>
      <c r="L20" s="7"/>
      <c r="M20" s="7"/>
      <c r="N20" s="7"/>
      <c r="O20" s="7"/>
      <c r="P20" s="7"/>
      <c r="Q20" s="7"/>
      <c r="R20" s="7"/>
      <c r="S20" s="7"/>
      <c r="T20" s="7"/>
      <c r="U20" s="7"/>
      <c r="V20" s="7"/>
      <c r="W20" s="7"/>
      <c r="X20" s="7"/>
      <c r="Y20" s="7"/>
      <c r="Z20" s="7"/>
    </row>
    <row r="21" spans="1:26" x14ac:dyDescent="0.35">
      <c r="A21" s="4" t="s">
        <v>119</v>
      </c>
      <c r="B21" s="7"/>
      <c r="C21" s="7"/>
      <c r="D21" s="7"/>
      <c r="E21" s="7"/>
      <c r="F21" s="7"/>
      <c r="G21" s="7"/>
      <c r="H21" s="7"/>
      <c r="I21" s="7"/>
      <c r="J21" s="7"/>
      <c r="K21" s="7"/>
      <c r="L21" s="7"/>
      <c r="M21" s="7"/>
      <c r="N21" s="7"/>
      <c r="O21" s="7"/>
      <c r="P21" s="7"/>
      <c r="Q21" s="7"/>
      <c r="R21" s="7"/>
      <c r="S21" s="7"/>
      <c r="T21" s="7"/>
      <c r="U21" s="7"/>
      <c r="V21" s="7"/>
      <c r="W21" s="7"/>
      <c r="X21" s="7"/>
      <c r="Y21" s="7"/>
      <c r="Z21" s="7"/>
    </row>
    <row r="22" spans="1:26" x14ac:dyDescent="0.35">
      <c r="A22" s="4" t="s">
        <v>120</v>
      </c>
      <c r="B22" s="7"/>
      <c r="C22" s="7"/>
      <c r="D22" s="7"/>
      <c r="E22" s="7"/>
      <c r="F22" s="7"/>
      <c r="G22" s="7"/>
      <c r="H22" s="7"/>
      <c r="I22" s="7"/>
      <c r="J22" s="7"/>
      <c r="K22" s="7"/>
      <c r="L22" s="7"/>
      <c r="M22" s="7"/>
      <c r="N22" s="7"/>
      <c r="O22" s="7"/>
      <c r="P22" s="7"/>
      <c r="Q22" s="7"/>
      <c r="R22" s="7"/>
      <c r="S22" s="7"/>
      <c r="T22" s="7"/>
      <c r="U22" s="7"/>
      <c r="V22" s="7"/>
      <c r="W22" s="7"/>
      <c r="X22" s="7"/>
      <c r="Y22" s="7"/>
      <c r="Z22" s="7"/>
    </row>
    <row r="23" spans="1:26" x14ac:dyDescent="0.35">
      <c r="A23" s="4" t="s">
        <v>121</v>
      </c>
      <c r="B23" s="7"/>
      <c r="C23" s="7"/>
      <c r="D23" s="7"/>
      <c r="E23" s="7"/>
      <c r="F23" s="7"/>
      <c r="G23" s="7"/>
      <c r="H23" s="7"/>
      <c r="I23" s="7"/>
      <c r="J23" s="7"/>
      <c r="K23" s="7"/>
      <c r="L23" s="7"/>
      <c r="M23" s="7"/>
      <c r="N23" s="7"/>
      <c r="O23" s="7"/>
      <c r="P23" s="7"/>
      <c r="Q23" s="7"/>
      <c r="R23" s="7"/>
      <c r="S23" s="7"/>
      <c r="T23" s="7"/>
      <c r="U23" s="7"/>
      <c r="V23" s="7"/>
      <c r="W23" s="7"/>
      <c r="X23" s="7"/>
      <c r="Y23" s="7"/>
      <c r="Z23" s="7"/>
    </row>
    <row r="24" spans="1:26" x14ac:dyDescent="0.35">
      <c r="A24" s="4" t="s">
        <v>122</v>
      </c>
      <c r="B24" s="7"/>
      <c r="C24" s="7"/>
      <c r="D24" s="7"/>
      <c r="E24" s="7"/>
      <c r="F24" s="7"/>
      <c r="G24" s="7"/>
      <c r="H24" s="7"/>
      <c r="I24" s="7"/>
      <c r="J24" s="7"/>
      <c r="K24" s="7"/>
      <c r="L24" s="7"/>
      <c r="M24" s="7"/>
      <c r="N24" s="7"/>
      <c r="O24" s="7"/>
      <c r="P24" s="7"/>
      <c r="Q24" s="7"/>
      <c r="R24" s="7"/>
      <c r="S24" s="7"/>
      <c r="T24" s="7"/>
      <c r="U24" s="7"/>
      <c r="V24" s="7"/>
      <c r="W24" s="7"/>
      <c r="X24" s="7"/>
      <c r="Y24" s="7"/>
      <c r="Z24" s="7"/>
    </row>
    <row r="25" spans="1:26" x14ac:dyDescent="0.35">
      <c r="A25" s="4" t="s">
        <v>123</v>
      </c>
      <c r="B25" s="7"/>
      <c r="C25" s="7"/>
      <c r="D25" s="7"/>
      <c r="E25" s="7"/>
      <c r="F25" s="7"/>
      <c r="G25" s="7"/>
      <c r="H25" s="7"/>
      <c r="I25" s="7"/>
      <c r="J25" s="7"/>
      <c r="K25" s="7"/>
      <c r="L25" s="7"/>
      <c r="M25" s="7"/>
      <c r="N25" s="7"/>
      <c r="O25" s="7"/>
      <c r="P25" s="7"/>
      <c r="Q25" s="7"/>
      <c r="R25" s="7"/>
      <c r="S25" s="7"/>
      <c r="T25" s="7"/>
      <c r="U25" s="7"/>
      <c r="V25" s="7"/>
      <c r="W25" s="7"/>
      <c r="X25" s="7"/>
      <c r="Y25" s="7"/>
      <c r="Z25" s="7"/>
    </row>
    <row r="26" spans="1:26" x14ac:dyDescent="0.35">
      <c r="A26" s="4" t="s">
        <v>124</v>
      </c>
      <c r="B26" s="7"/>
      <c r="C26" s="7"/>
      <c r="D26" s="7"/>
      <c r="E26" s="7"/>
      <c r="F26" s="7"/>
      <c r="G26" s="7"/>
      <c r="H26" s="7"/>
      <c r="I26" s="7"/>
      <c r="J26" s="7"/>
      <c r="K26" s="7"/>
      <c r="L26" s="7"/>
      <c r="M26" s="7"/>
      <c r="N26" s="7"/>
      <c r="O26" s="7"/>
      <c r="P26" s="7"/>
      <c r="Q26" s="7"/>
      <c r="R26" s="7"/>
      <c r="S26" s="7"/>
      <c r="T26" s="7"/>
      <c r="U26" s="7"/>
      <c r="V26" s="7"/>
      <c r="W26" s="7"/>
      <c r="X26" s="7"/>
      <c r="Y26" s="7"/>
      <c r="Z26" s="7"/>
    </row>
    <row r="27" spans="1:26" x14ac:dyDescent="0.35">
      <c r="A27" s="4" t="s">
        <v>125</v>
      </c>
      <c r="B27" s="7"/>
      <c r="C27" s="7"/>
      <c r="D27" s="7"/>
      <c r="E27" s="7"/>
      <c r="F27" s="7"/>
      <c r="G27" s="7"/>
      <c r="H27" s="7"/>
      <c r="I27" s="7"/>
      <c r="J27" s="7"/>
      <c r="K27" s="7"/>
      <c r="L27" s="7"/>
      <c r="M27" s="7"/>
      <c r="N27" s="7"/>
      <c r="O27" s="7"/>
      <c r="P27" s="7"/>
      <c r="Q27" s="7"/>
      <c r="R27" s="7"/>
      <c r="S27" s="7"/>
      <c r="T27" s="7"/>
      <c r="U27" s="7"/>
      <c r="V27" s="7"/>
      <c r="W27" s="7"/>
      <c r="X27" s="7"/>
      <c r="Y27" s="7"/>
      <c r="Z27" s="7"/>
    </row>
    <row r="28" spans="1:26" x14ac:dyDescent="0.35">
      <c r="A28" s="4" t="s">
        <v>126</v>
      </c>
      <c r="B28" s="7"/>
      <c r="C28" s="7"/>
      <c r="D28" s="7"/>
      <c r="E28" s="7"/>
      <c r="F28" s="7"/>
      <c r="G28" s="7"/>
      <c r="H28" s="7"/>
      <c r="I28" s="7"/>
      <c r="J28" s="7"/>
      <c r="K28" s="7"/>
      <c r="L28" s="7"/>
      <c r="M28" s="7"/>
      <c r="N28" s="7"/>
      <c r="O28" s="7"/>
      <c r="P28" s="7"/>
      <c r="Q28" s="7"/>
      <c r="R28" s="7"/>
      <c r="S28" s="7"/>
      <c r="T28" s="7"/>
      <c r="U28" s="7"/>
      <c r="V28" s="7"/>
      <c r="W28" s="7"/>
      <c r="X28" s="7"/>
      <c r="Y28" s="7"/>
      <c r="Z28" s="7"/>
    </row>
    <row r="29" spans="1:26" x14ac:dyDescent="0.35">
      <c r="A29" s="4" t="s">
        <v>127</v>
      </c>
      <c r="B29" s="7"/>
      <c r="C29" s="7"/>
      <c r="D29" s="7"/>
      <c r="E29" s="7"/>
      <c r="F29" s="7"/>
      <c r="G29" s="7"/>
      <c r="H29" s="7"/>
      <c r="I29" s="7"/>
      <c r="J29" s="7"/>
      <c r="K29" s="7"/>
      <c r="L29" s="7"/>
      <c r="M29" s="7"/>
      <c r="N29" s="7"/>
      <c r="O29" s="7"/>
      <c r="P29" s="7"/>
      <c r="Q29" s="7"/>
      <c r="R29" s="7"/>
      <c r="S29" s="7"/>
      <c r="T29" s="7"/>
      <c r="U29" s="7"/>
      <c r="V29" s="7"/>
      <c r="W29" s="7"/>
      <c r="X29" s="7"/>
      <c r="Y29" s="7"/>
      <c r="Z29" s="7"/>
    </row>
    <row r="30" spans="1:26" x14ac:dyDescent="0.35">
      <c r="A30" s="4" t="s">
        <v>128</v>
      </c>
      <c r="B30" s="7"/>
      <c r="C30" s="7"/>
      <c r="D30" s="7"/>
      <c r="E30" s="7"/>
      <c r="F30" s="7"/>
      <c r="G30" s="7"/>
      <c r="H30" s="7"/>
      <c r="I30" s="7"/>
      <c r="J30" s="7"/>
      <c r="K30" s="7"/>
      <c r="L30" s="7"/>
      <c r="M30" s="7"/>
      <c r="N30" s="7"/>
      <c r="O30" s="7"/>
      <c r="P30" s="7"/>
      <c r="Q30" s="7"/>
      <c r="R30" s="7"/>
      <c r="S30" s="7"/>
      <c r="T30" s="7"/>
      <c r="U30" s="7"/>
      <c r="V30" s="7"/>
      <c r="W30" s="7"/>
      <c r="X30" s="7"/>
      <c r="Y30" s="7"/>
      <c r="Z30" s="7"/>
    </row>
    <row r="31" spans="1:26" x14ac:dyDescent="0.35">
      <c r="A31" s="4" t="s">
        <v>129</v>
      </c>
      <c r="B31" s="7"/>
      <c r="C31" s="7"/>
      <c r="D31" s="7"/>
      <c r="E31" s="7"/>
      <c r="F31" s="7"/>
      <c r="G31" s="7"/>
      <c r="H31" s="7"/>
      <c r="I31" s="7"/>
      <c r="J31" s="7"/>
      <c r="K31" s="7"/>
      <c r="L31" s="7"/>
      <c r="M31" s="7"/>
      <c r="N31" s="7"/>
      <c r="O31" s="7"/>
      <c r="P31" s="7"/>
      <c r="Q31" s="7"/>
      <c r="R31" s="7"/>
      <c r="S31" s="7"/>
      <c r="T31" s="7"/>
      <c r="U31" s="7"/>
      <c r="V31" s="7"/>
      <c r="W31" s="7"/>
      <c r="X31" s="7"/>
      <c r="Y31" s="7"/>
      <c r="Z31" s="7"/>
    </row>
    <row r="32" spans="1:26" x14ac:dyDescent="0.35">
      <c r="A32" s="4" t="s">
        <v>130</v>
      </c>
      <c r="B32" s="7"/>
      <c r="C32" s="7"/>
      <c r="D32" s="7"/>
      <c r="E32" s="7"/>
      <c r="F32" s="7"/>
      <c r="G32" s="7"/>
      <c r="H32" s="7"/>
      <c r="I32" s="7"/>
      <c r="J32" s="7"/>
      <c r="K32" s="7"/>
      <c r="L32" s="7"/>
      <c r="M32" s="7"/>
      <c r="N32" s="7"/>
      <c r="O32" s="7"/>
      <c r="P32" s="7"/>
      <c r="Q32" s="7"/>
      <c r="R32" s="7"/>
      <c r="S32" s="7"/>
      <c r="T32" s="7"/>
      <c r="U32" s="7"/>
      <c r="V32" s="7"/>
      <c r="W32" s="7"/>
      <c r="X32" s="7"/>
      <c r="Y32" s="7"/>
      <c r="Z32" s="7"/>
    </row>
    <row r="33" spans="1:26" x14ac:dyDescent="0.35">
      <c r="A33" s="4" t="s">
        <v>131</v>
      </c>
      <c r="B33" s="7"/>
      <c r="C33" s="7"/>
      <c r="D33" s="7"/>
      <c r="E33" s="7"/>
      <c r="F33" s="7"/>
      <c r="G33" s="7"/>
      <c r="H33" s="7"/>
      <c r="I33" s="7"/>
      <c r="J33" s="7"/>
      <c r="K33" s="7"/>
      <c r="L33" s="7"/>
      <c r="M33" s="7"/>
      <c r="N33" s="7"/>
      <c r="O33" s="7"/>
      <c r="P33" s="7"/>
      <c r="Q33" s="7"/>
      <c r="R33" s="7"/>
      <c r="S33" s="7"/>
      <c r="T33" s="7"/>
      <c r="U33" s="7"/>
      <c r="V33" s="7"/>
      <c r="W33" s="7"/>
      <c r="X33" s="7"/>
      <c r="Y33" s="7"/>
      <c r="Z33" s="7"/>
    </row>
    <row r="34" spans="1:26" x14ac:dyDescent="0.35">
      <c r="A34" s="4" t="s">
        <v>132</v>
      </c>
      <c r="B34" s="7"/>
      <c r="C34" s="7"/>
      <c r="D34" s="7"/>
      <c r="E34" s="7"/>
      <c r="F34" s="7"/>
      <c r="G34" s="7"/>
      <c r="H34" s="7"/>
      <c r="I34" s="7"/>
      <c r="J34" s="7"/>
      <c r="K34" s="7"/>
      <c r="L34" s="7"/>
      <c r="M34" s="7"/>
      <c r="N34" s="7"/>
      <c r="O34" s="7"/>
      <c r="P34" s="7"/>
      <c r="Q34" s="7"/>
      <c r="R34" s="7"/>
      <c r="S34" s="7"/>
      <c r="T34" s="7"/>
      <c r="U34" s="7"/>
      <c r="V34" s="7"/>
      <c r="W34" s="7"/>
      <c r="X34" s="7"/>
      <c r="Y34" s="7"/>
      <c r="Z34" s="7"/>
    </row>
    <row r="35" spans="1:26" x14ac:dyDescent="0.35">
      <c r="A35" s="4" t="s">
        <v>133</v>
      </c>
      <c r="B35" s="7"/>
      <c r="C35" s="7"/>
      <c r="D35" s="7"/>
      <c r="E35" s="7"/>
      <c r="F35" s="7"/>
      <c r="G35" s="7"/>
      <c r="H35" s="7"/>
      <c r="I35" s="7"/>
      <c r="J35" s="7"/>
      <c r="K35" s="7"/>
      <c r="L35" s="7"/>
      <c r="M35" s="7"/>
      <c r="N35" s="7"/>
      <c r="O35" s="7"/>
      <c r="P35" s="7"/>
      <c r="Q35" s="7"/>
      <c r="R35" s="7"/>
      <c r="S35" s="7"/>
      <c r="T35" s="7"/>
      <c r="U35" s="7"/>
      <c r="V35" s="7"/>
      <c r="W35" s="7"/>
      <c r="X35" s="7"/>
      <c r="Y35" s="7"/>
      <c r="Z35" s="7"/>
    </row>
    <row r="36" spans="1:26" x14ac:dyDescent="0.35">
      <c r="A36" s="4" t="s">
        <v>134</v>
      </c>
      <c r="B36" s="7"/>
      <c r="C36" s="7"/>
      <c r="D36" s="7"/>
      <c r="E36" s="7"/>
      <c r="F36" s="7"/>
      <c r="G36" s="7"/>
      <c r="H36" s="7"/>
      <c r="I36" s="7"/>
      <c r="J36" s="7"/>
      <c r="K36" s="7"/>
      <c r="L36" s="7"/>
      <c r="M36" s="7"/>
      <c r="N36" s="7"/>
      <c r="O36" s="7"/>
      <c r="P36" s="7"/>
      <c r="Q36" s="7"/>
      <c r="R36" s="7"/>
      <c r="S36" s="7"/>
      <c r="T36" s="7"/>
      <c r="U36" s="7"/>
      <c r="V36" s="7"/>
      <c r="W36" s="7"/>
      <c r="X36" s="7"/>
      <c r="Y36" s="7"/>
      <c r="Z36" s="7"/>
    </row>
    <row r="37" spans="1:26" x14ac:dyDescent="0.35">
      <c r="A37" s="4" t="s">
        <v>135</v>
      </c>
      <c r="B37" s="7"/>
      <c r="C37" s="7"/>
      <c r="D37" s="7"/>
      <c r="E37" s="7"/>
      <c r="F37" s="7"/>
      <c r="G37" s="7"/>
      <c r="H37" s="7"/>
      <c r="I37" s="7"/>
      <c r="J37" s="7"/>
      <c r="K37" s="7"/>
      <c r="L37" s="7"/>
      <c r="M37" s="7"/>
      <c r="N37" s="7"/>
      <c r="O37" s="7"/>
      <c r="P37" s="7"/>
      <c r="Q37" s="7"/>
      <c r="R37" s="7"/>
      <c r="S37" s="7"/>
      <c r="T37" s="7"/>
      <c r="U37" s="7"/>
      <c r="V37" s="7"/>
      <c r="W37" s="7"/>
      <c r="X37" s="7"/>
      <c r="Y37" s="7"/>
      <c r="Z37" s="7"/>
    </row>
    <row r="38" spans="1:26" x14ac:dyDescent="0.35">
      <c r="A38" s="4" t="s">
        <v>136</v>
      </c>
      <c r="B38" s="7"/>
      <c r="C38" s="7"/>
      <c r="D38" s="7"/>
      <c r="E38" s="7"/>
      <c r="F38" s="7"/>
      <c r="G38" s="7"/>
      <c r="H38" s="7"/>
      <c r="I38" s="7"/>
      <c r="J38" s="7"/>
      <c r="K38" s="7"/>
      <c r="L38" s="7"/>
      <c r="M38" s="7"/>
      <c r="N38" s="7"/>
      <c r="O38" s="7"/>
      <c r="P38" s="7"/>
      <c r="Q38" s="7"/>
      <c r="R38" s="7"/>
      <c r="S38" s="7"/>
      <c r="T38" s="7"/>
      <c r="U38" s="7"/>
      <c r="V38" s="7"/>
      <c r="W38" s="7"/>
      <c r="X38" s="7"/>
      <c r="Y38" s="7"/>
      <c r="Z38" s="7"/>
    </row>
    <row r="39" spans="1:26" x14ac:dyDescent="0.35">
      <c r="A39" s="4" t="s">
        <v>137</v>
      </c>
      <c r="B39" s="7"/>
      <c r="C39" s="7"/>
      <c r="D39" s="7"/>
      <c r="E39" s="7"/>
      <c r="F39" s="7"/>
      <c r="G39" s="7"/>
      <c r="H39" s="7"/>
      <c r="I39" s="7"/>
      <c r="J39" s="7"/>
      <c r="K39" s="7"/>
      <c r="L39" s="7"/>
      <c r="M39" s="7"/>
      <c r="N39" s="7"/>
      <c r="O39" s="7"/>
      <c r="P39" s="7"/>
      <c r="Q39" s="7"/>
      <c r="R39" s="7"/>
      <c r="S39" s="7"/>
      <c r="T39" s="7"/>
      <c r="U39" s="7"/>
      <c r="V39" s="7"/>
      <c r="W39" s="7"/>
      <c r="X39" s="7"/>
      <c r="Y39" s="7"/>
      <c r="Z39" s="7"/>
    </row>
    <row r="40" spans="1:26" x14ac:dyDescent="0.35">
      <c r="A40" s="4" t="s">
        <v>138</v>
      </c>
      <c r="B40" s="7"/>
      <c r="C40" s="7"/>
      <c r="D40" s="7"/>
      <c r="E40" s="7"/>
      <c r="F40" s="7"/>
      <c r="G40" s="7"/>
      <c r="H40" s="7"/>
      <c r="I40" s="7"/>
      <c r="J40" s="7"/>
      <c r="K40" s="7"/>
      <c r="L40" s="7"/>
      <c r="M40" s="7"/>
      <c r="N40" s="7"/>
      <c r="O40" s="7"/>
      <c r="P40" s="7"/>
      <c r="Q40" s="7"/>
      <c r="R40" s="7"/>
      <c r="S40" s="7"/>
      <c r="T40" s="7"/>
      <c r="U40" s="7"/>
      <c r="V40" s="7"/>
      <c r="W40" s="7"/>
      <c r="X40" s="7"/>
      <c r="Y40" s="7"/>
      <c r="Z40" s="7"/>
    </row>
    <row r="41" spans="1:26" x14ac:dyDescent="0.35">
      <c r="A41" s="4" t="s">
        <v>139</v>
      </c>
      <c r="B41" s="7"/>
      <c r="C41" s="7"/>
      <c r="D41" s="7"/>
      <c r="E41" s="7"/>
      <c r="F41" s="7"/>
      <c r="G41" s="7"/>
      <c r="H41" s="7"/>
      <c r="I41" s="7"/>
      <c r="J41" s="7"/>
      <c r="K41" s="7"/>
      <c r="L41" s="7"/>
      <c r="M41" s="7"/>
      <c r="N41" s="7"/>
      <c r="O41" s="7"/>
      <c r="P41" s="7"/>
      <c r="Q41" s="7"/>
      <c r="R41" s="7"/>
      <c r="S41" s="7"/>
      <c r="T41" s="7"/>
      <c r="U41" s="7"/>
      <c r="V41" s="7"/>
      <c r="W41" s="7"/>
      <c r="X41" s="7"/>
      <c r="Y41" s="7"/>
      <c r="Z41" s="7"/>
    </row>
  </sheetData>
  <dataValidations count="2">
    <dataValidation type="list" allowBlank="1" sqref="C2 C3 C4 C5 C6 C7 C8 C9 C10 C11 C12 C13 C14 C15 C16 C17 C18 C19 C20 C21 C22 C23 C24 C25 C26 C27 C28 C29 C30 C31 C32 C33 C34 C35 C36 C37 C38 C39 C40 C41 E2 E3 E4 E5 E6 E7 E8 E9 E10 E11 E12 E13 E14 E15 E16 E17 E18 E19 E20 E21 E22 E23 E24 E25 E26 E27 E28 E29 E30 E31 E32 E33 E34 E35 E36 E37 E38 E39 E40 E41 G2 G3 G4 G5 G6 G7 G8 G9 G10 G11 G12 G13 G14 G15 G16 G17 G18 G19 G20 G21 G22 G23 G24 G25 G26 G27 G28 G29 G30 G31 G32 G33 G34 G35 G36 G37 G38 G39 G40 G41 I2 I3 I4 I5 I6 I7 I8 I9 I10 I11 I12 I13 I14 I15 I16 I17 I18 I19 I20 I21 I22 I23 I24 I25 I26 I27 I28 I29 I30 I31 I32 I33 I34 I35 I36 I37 I38 I39 I40 I41 K2 K3 K4 K5 K6 K7 K8 K9 K10 K11 K12 K13 K14 K15 K16 K17 K18 K19 K20 K21 K22 K23 K24 K25 K26 K27 K28 K29 K30 K31 K32 K33 K34 K35 K36 K37 K38 K39 K40 K41 M2 M3 M4 M5 M6 M7 M8 M9 M10 M11 M12 M13 M14 M15 M16 M17 M18 M19 M20 M21 M22 M23 M24 M25 M26 M27 M28 M29 M30 M31 M32 M33 M34 M35 M36 M37 M38 M39 M40 M41 O2 O3 O4 O5 O6 O7 O8 O9 O10 O11 O12 O13 O14 O15 O16 O17 O18 O19 O20 O21 O22 O23 O24 O25 O26 O27 O28 O29 O30 O31 O32 O33 O34 O35 O36 O37 O38 O39 O40 O41 Q2 Q3 Q4 Q5 Q6 Q7 Q8 Q9 Q10 Q11 Q12 Q13 Q14 Q15 Q16 Q17 Q18 Q19 Q20 Q21 Q22 Q23 Q24 Q25 Q26 Q27 Q28 Q29 Q30 Q31 Q32 Q33 Q34 Q35 Q36 Q37 Q38 Q39 Q40 Q41 S2 S3 S4 S5 S6 S7 S8 S9 S10 S11 S12 S13 S14 S15 S16 S17 S18 S19 S20 S21 S22 S23 S24 S25 S26 S27 S28 S29 S30 S31 S32 S33 S34 S35 S36 S37 S38 S39 S40 S41 U2 U3 U4 U5 U6 U7 U8 U9 U10 U11 U12 U13 U14 U15 U16 U17 U18 U19 U20 U21 U22 U23 U24 U25 U26 U27 U28 U29 U30 U31 U32 U33 U34 U35 U36 U37 U38 U39 U40 U41 W2 W3 W4 W5 W6 W7 W8 W9 W10 W11 W12 W13 W14 W15 W16 W17 W18 W19 W20 W21 W22 W23 W24 W25 W26 W27 W28 W29 W30 W31 W32 W33 W34 W35 W36 W37 W38 W39 W40 W41 Y2 Y3 Y4 Y5 Y6 Y7 Y8 Y9 Y10 Y11 Y12 Y13 Y14 Y15 Y16 Y17 Y18 Y19 Y20 Y21 Y22 Y23 Y24 Y25 Y26 Y27 Y28 Y29 Y30 Y31 Y32 Y33 Y34 Y35 Y36 Y37 Y38 Y39 Y40 Y41">
      <formula1>"0,1,2"</formula1>
    </dataValidation>
    <dataValidation type="list" allowBlank="1" sqref="D2 D3 D4 D5 D6 D7 D8 D9 D10 D11 D12 D13 D14 D15 D16 D17 D18 D19 D20 D21 D22 D23 D24 D25 D26 D27 D28 D29 D30 D31 D32 D33 D34 D35 D36 D37 D38 D39 D40 D41 F2 F3 F4 F5 F6 F7 F8 F9 F10 F11 F12 F13 F14 F15 F16 F17 F18 F19 F20 F21 F22 F23 F24 F25 F26 F27 F28 F29 F30 F31 F32 F33 F34 F35 F36 F37 F38 F39 F40 F41 H2 H3 H4 H5 H6 H7 H8 H9 H10 H11 H12 H13 H14 H15 H16 H17 H18 H19 H20 H21 H22 H23 H24 H25 H26 H27 H28 H29 H30 H31 H32 H33 H34 H35 H36 H37 H38 H39 H40 H41 J2 J3 J4 J5 J6 J7 J8 J9 J10 J11 J12 J13 J14 J15 J16 J17 J18 J19 J20 J21 J22 J23 J24 J25 J26 J27 J28 J29 J30 J31 J32 J33 J34 J35 J36 J37 J38 J39 J40 J41 L2 L3 L4 L5 L6 L7 L8 L9 L10 L11 L12 L13 L14 L15 L16 L17 L18 L19 L20 L21 L22 L23 L24 L25 L26 L27 L28 L29 L30 L31 L32 L33 L34 L35 L36 L37 L38 L39 L40 L41 N2 N3 N4 N5 N6 N7 N8 N9 N10 N11 N12 N13 N14 N15 N16 N17 N18 N19 N20 N21 N22 N23 N24 N25 N26 N27 N28 N29 N30 N31 N32 N33 N34 N35 N36 N37 N38 N39 N40 N41 P2 P3 P4 P5 P6 P7 P8 P9 P10 P11 P12 P13 P14 P15 P16 P17 P18 P19 P20 P21 P22 P23 P24 P25 P26 P27 P28 P29 P30 P31 P32 P33 P34 P35 P36 P37 P38 P39 P40 P41 R2 R3 R4 R5 R6 R7 R8 R9 R10 R11 R12 R13 R14 R15 R16 R17 R18 R19 R20 R21 R22 R23 R24 R25 R26 R27 R28 R29 R30 R31 R32 R33 R34 R35 R36 R37 R38 R39 R40 R41 T2 T3 T4 T5 T6 T7 T8 T9 T10 T11 T12 T13 T14 T15 T16 T17 T18 T19 T20 T21 T22 T23 T24 T25 T26 T27 T28 T29 T30 T31 T32 T33 T34 T35 T36 T37 T38 T39 T40 T41 V2 V3 V4 V5 V6 V7 V8 V9 V10 V11 V12 V13 V14 V15 V16 V17 V18 V19 V20 V21 V22 V23 V24 V25 V26 V27 V28 V29 V30 V31 V32 V33 V34 V35 V36 V37 V38 V39 V40 V41 X2 X3 X4 X5 X6 X7 X8 X9 X10 X11 X12 X13 X14 X15 X16 X17 X18 X19 X20 X21 X22 X23 X24 X25 X26 X27 X28 X29 X30 X31 X32 X33 X34 X35 X36 X37 X38 X39 X40 X41 Z2 Z3 Z4 Z5 Z6 Z7 Z8 Z9 Z10 Z11 Z12 Z13 Z14 Z15 Z16 Z17 Z18 Z19 Z20 Z21 Z22 Z23 Z24 Z25 Z26 Z27 Z28 Z29 Z30 Z31 Z32 Z33 Z34 Z35 Z36 Z37 Z38 Z39 Z40 Z41">
      <formula1>"0,1"</formula1>
    </dataValidation>
  </dataValidations>
  <pageMargins left="0.75" right="0.75" top="1" bottom="1" header="0.5" footer="0.5"/>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7"/>
  <sheetViews>
    <sheetView topLeftCell="A16" workbookViewId="0"/>
  </sheetViews>
  <sheetFormatPr defaultRowHeight="14.5" x14ac:dyDescent="0.35"/>
  <cols>
    <col min="1" max="1" width="34" customWidth="1"/>
    <col min="2" max="6" width="14" customWidth="1"/>
  </cols>
  <sheetData>
    <row r="1" spans="1:4" x14ac:dyDescent="0.35">
      <c r="A1" s="8" t="s">
        <v>140</v>
      </c>
    </row>
    <row r="2" spans="1:4" x14ac:dyDescent="0.35">
      <c r="A2" s="3" t="s">
        <v>18</v>
      </c>
      <c r="B2" s="3" t="s">
        <v>141</v>
      </c>
      <c r="C2" s="3" t="s">
        <v>142</v>
      </c>
      <c r="D2" s="3" t="s">
        <v>143</v>
      </c>
    </row>
    <row r="3" spans="1:4" x14ac:dyDescent="0.35">
      <c r="A3" s="5" t="s">
        <v>21</v>
      </c>
      <c r="B3" s="4">
        <f>COUNTIFS('Мәтін талдауы'!$D$2:$D$81,A3,'Мәтін талдауы'!$C$2:$C$81,"Ертегі")</f>
        <v>1</v>
      </c>
      <c r="C3" s="4">
        <f>COUNTIFS('Мәтін талдауы'!$D$2:$D$81,A3,'Мәтін талдауы'!$C$2:$C$81,"Жыр")</f>
        <v>3</v>
      </c>
      <c r="D3" s="4">
        <f t="shared" ref="D3:D15" si="0">B3+C3</f>
        <v>4</v>
      </c>
    </row>
    <row r="4" spans="1:4" x14ac:dyDescent="0.35">
      <c r="A4" s="5" t="s">
        <v>24</v>
      </c>
      <c r="B4" s="4">
        <f>COUNTIFS('Мәтін талдауы'!$D$2:$D$81,A4,'Мәтін талдауы'!$C$2:$C$81,"Ертегі")</f>
        <v>0</v>
      </c>
      <c r="C4" s="4">
        <f>COUNTIFS('Мәтін талдауы'!$D$2:$D$81,A4,'Мәтін талдауы'!$C$2:$C$81,"Жыр")</f>
        <v>1</v>
      </c>
      <c r="D4" s="4">
        <f t="shared" si="0"/>
        <v>1</v>
      </c>
    </row>
    <row r="5" spans="1:4" x14ac:dyDescent="0.35">
      <c r="A5" s="5" t="s">
        <v>26</v>
      </c>
      <c r="B5" s="4">
        <f>COUNTIFS('Мәтін талдауы'!$D$2:$D$81,A5,'Мәтін талдауы'!$C$2:$C$81,"Ертегі")</f>
        <v>0</v>
      </c>
      <c r="C5" s="4">
        <f>COUNTIFS('Мәтін талдауы'!$D$2:$D$81,A5,'Мәтін талдауы'!$C$2:$C$81,"Жыр")</f>
        <v>0</v>
      </c>
      <c r="D5" s="4">
        <f t="shared" si="0"/>
        <v>0</v>
      </c>
    </row>
    <row r="6" spans="1:4" x14ac:dyDescent="0.35">
      <c r="A6" s="5" t="s">
        <v>28</v>
      </c>
      <c r="B6" s="4">
        <f>COUNTIFS('Мәтін талдауы'!$D$2:$D$81,A6,'Мәтін талдауы'!$C$2:$C$81,"Ертегі")</f>
        <v>0</v>
      </c>
      <c r="C6" s="4">
        <f>COUNTIFS('Мәтін талдауы'!$D$2:$D$81,A6,'Мәтін талдауы'!$C$2:$C$81,"Жыр")</f>
        <v>0</v>
      </c>
      <c r="D6" s="4">
        <f t="shared" si="0"/>
        <v>0</v>
      </c>
    </row>
    <row r="7" spans="1:4" x14ac:dyDescent="0.35">
      <c r="A7" s="5" t="s">
        <v>30</v>
      </c>
      <c r="B7" s="4">
        <f>COUNTIFS('Мәтін талдауы'!$D$2:$D$81,A7,'Мәтін талдауы'!$C$2:$C$81,"Ертегі")</f>
        <v>0</v>
      </c>
      <c r="C7" s="4">
        <f>COUNTIFS('Мәтін талдауы'!$D$2:$D$81,A7,'Мәтін талдауы'!$C$2:$C$81,"Жыр")</f>
        <v>2</v>
      </c>
      <c r="D7" s="4">
        <f t="shared" si="0"/>
        <v>2</v>
      </c>
    </row>
    <row r="8" spans="1:4" x14ac:dyDescent="0.35">
      <c r="A8" s="5" t="s">
        <v>32</v>
      </c>
      <c r="B8" s="4">
        <f>COUNTIFS('Мәтін талдауы'!$D$2:$D$81,A8,'Мәтін талдауы'!$C$2:$C$81,"Ертегі")</f>
        <v>3</v>
      </c>
      <c r="C8" s="4">
        <f>COUNTIFS('Мәтін талдауы'!$D$2:$D$81,A8,'Мәтін талдауы'!$C$2:$C$81,"Жыр")</f>
        <v>0</v>
      </c>
      <c r="D8" s="4">
        <f t="shared" si="0"/>
        <v>3</v>
      </c>
    </row>
    <row r="9" spans="1:4" x14ac:dyDescent="0.35">
      <c r="A9" s="5" t="s">
        <v>35</v>
      </c>
      <c r="B9" s="4">
        <f>COUNTIFS('Мәтін талдауы'!$D$2:$D$81,A9,'Мәтін талдауы'!$C$2:$C$81,"Ертегі")</f>
        <v>0</v>
      </c>
      <c r="C9" s="4">
        <f>COUNTIFS('Мәтін талдауы'!$D$2:$D$81,A9,'Мәтін талдауы'!$C$2:$C$81,"Жыр")</f>
        <v>1</v>
      </c>
      <c r="D9" s="4">
        <f t="shared" si="0"/>
        <v>1</v>
      </c>
    </row>
    <row r="10" spans="1:4" x14ac:dyDescent="0.35">
      <c r="A10" s="5" t="s">
        <v>37</v>
      </c>
      <c r="B10" s="4">
        <f>COUNTIFS('Мәтін талдауы'!$D$2:$D$81,A10,'Мәтін талдауы'!$C$2:$C$81,"Ертегі")</f>
        <v>0</v>
      </c>
      <c r="C10" s="4">
        <f>COUNTIFS('Мәтін талдауы'!$D$2:$D$81,A10,'Мәтін талдауы'!$C$2:$C$81,"Жыр")</f>
        <v>0</v>
      </c>
      <c r="D10" s="4">
        <f t="shared" si="0"/>
        <v>0</v>
      </c>
    </row>
    <row r="11" spans="1:4" x14ac:dyDescent="0.35">
      <c r="A11" s="5" t="s">
        <v>40</v>
      </c>
      <c r="B11" s="4">
        <f>COUNTIFS('Мәтін талдауы'!$D$2:$D$81,A11,'Мәтін талдауы'!$C$2:$C$81,"Ертегі")</f>
        <v>0</v>
      </c>
      <c r="C11" s="4">
        <f>COUNTIFS('Мәтін талдауы'!$D$2:$D$81,A11,'Мәтін талдауы'!$C$2:$C$81,"Жыр")</f>
        <v>0</v>
      </c>
      <c r="D11" s="4">
        <f t="shared" si="0"/>
        <v>0</v>
      </c>
    </row>
    <row r="12" spans="1:4" x14ac:dyDescent="0.35">
      <c r="A12" s="5" t="s">
        <v>42</v>
      </c>
      <c r="B12" s="4">
        <f>COUNTIFS('Мәтін талдауы'!$D$2:$D$81,A12,'Мәтін талдауы'!$C$2:$C$81,"Ертегі")</f>
        <v>2</v>
      </c>
      <c r="C12" s="4">
        <f>COUNTIFS('Мәтін талдауы'!$D$2:$D$81,A12,'Мәтін талдауы'!$C$2:$C$81,"Жыр")</f>
        <v>2</v>
      </c>
      <c r="D12" s="4">
        <f t="shared" si="0"/>
        <v>4</v>
      </c>
    </row>
    <row r="13" spans="1:4" x14ac:dyDescent="0.35">
      <c r="A13" s="5" t="s">
        <v>45</v>
      </c>
      <c r="B13" s="4">
        <f>COUNTIFS('Мәтін талдауы'!$D$2:$D$81,A13,'Мәтін талдауы'!$C$2:$C$81,"Ертегі")</f>
        <v>0</v>
      </c>
      <c r="C13" s="4">
        <f>COUNTIFS('Мәтін талдауы'!$D$2:$D$81,A13,'Мәтін талдауы'!$C$2:$C$81,"Жыр")</f>
        <v>0</v>
      </c>
      <c r="D13" s="4">
        <f t="shared" si="0"/>
        <v>0</v>
      </c>
    </row>
    <row r="14" spans="1:4" x14ac:dyDescent="0.35">
      <c r="A14" s="5" t="s">
        <v>47</v>
      </c>
      <c r="B14" s="4">
        <f>COUNTIFS('Мәтін талдауы'!$D$2:$D$81,A14,'Мәтін талдауы'!$C$2:$C$81,"Ертегі")</f>
        <v>0</v>
      </c>
      <c r="C14" s="4">
        <f>COUNTIFS('Мәтін талдауы'!$D$2:$D$81,A14,'Мәтін талдауы'!$C$2:$C$81,"Жыр")</f>
        <v>0</v>
      </c>
      <c r="D14" s="4">
        <f t="shared" si="0"/>
        <v>0</v>
      </c>
    </row>
    <row r="15" spans="1:4" x14ac:dyDescent="0.35">
      <c r="A15" s="5" t="s">
        <v>50</v>
      </c>
      <c r="B15" s="4">
        <f>COUNTIFS('Мәтін талдауы'!$D$2:$D$81,A15,'Мәтін талдауы'!$C$2:$C$81,"Ертегі")</f>
        <v>0</v>
      </c>
      <c r="C15" s="4">
        <f>COUNTIFS('Мәтін талдауы'!$D$2:$D$81,A15,'Мәтін талдауы'!$C$2:$C$81,"Жыр")</f>
        <v>0</v>
      </c>
      <c r="D15" s="4">
        <f t="shared" si="0"/>
        <v>0</v>
      </c>
    </row>
    <row r="16" spans="1:4" x14ac:dyDescent="0.35">
      <c r="A16" s="9" t="s">
        <v>144</v>
      </c>
      <c r="B16" s="4">
        <f>SUM(B3:B15)</f>
        <v>6</v>
      </c>
      <c r="C16" s="4">
        <f>SUM(C3:C15)</f>
        <v>9</v>
      </c>
      <c r="D16" s="4">
        <f>SUM(D3:D15)</f>
        <v>15</v>
      </c>
    </row>
    <row r="18" spans="1:4" x14ac:dyDescent="0.35">
      <c r="A18" s="8" t="s">
        <v>145</v>
      </c>
    </row>
    <row r="19" spans="1:4" x14ac:dyDescent="0.35">
      <c r="A19" s="3" t="s">
        <v>19</v>
      </c>
      <c r="B19" s="3" t="s">
        <v>141</v>
      </c>
      <c r="C19" s="3" t="s">
        <v>142</v>
      </c>
      <c r="D19" s="3" t="s">
        <v>143</v>
      </c>
    </row>
    <row r="20" spans="1:4" x14ac:dyDescent="0.35">
      <c r="A20" s="5" t="s">
        <v>22</v>
      </c>
      <c r="B20" s="4">
        <f>COUNTIFS('Мәтін талдауы'!$F$2:$F$81,A20,'Мәтін талдауы'!$C$2:$C$81,"Ертегі")</f>
        <v>1</v>
      </c>
      <c r="C20" s="4">
        <f>COUNTIFS('Мәтін талдауы'!$F$2:$F$81,A20,'Мәтін талдауы'!$C$2:$C$81,"Жыр")</f>
        <v>6</v>
      </c>
      <c r="D20" s="4">
        <f>B20+C20</f>
        <v>7</v>
      </c>
    </row>
    <row r="21" spans="1:4" x14ac:dyDescent="0.35">
      <c r="A21" s="5" t="s">
        <v>33</v>
      </c>
      <c r="B21" s="4">
        <f>COUNTIFS('Мәтін талдауы'!$F$2:$F$81,A21,'Мәтін талдауы'!$C$2:$C$81,"Ертегі")</f>
        <v>3</v>
      </c>
      <c r="C21" s="4">
        <f>COUNTIFS('Мәтін талдауы'!$F$2:$F$81,A21,'Мәтін талдауы'!$C$2:$C$81,"Жыр")</f>
        <v>1</v>
      </c>
      <c r="D21" s="4">
        <f>B21+C21</f>
        <v>4</v>
      </c>
    </row>
    <row r="22" spans="1:4" x14ac:dyDescent="0.35">
      <c r="A22" s="5" t="s">
        <v>38</v>
      </c>
      <c r="B22" s="4">
        <f>COUNTIFS('Мәтін талдауы'!$F$2:$F$81,A22,'Мәтін талдауы'!$C$2:$C$81,"Ертегі")</f>
        <v>0</v>
      </c>
      <c r="C22" s="4">
        <f>COUNTIFS('Мәтін талдауы'!$F$2:$F$81,A22,'Мәтін талдауы'!$C$2:$C$81,"Жыр")</f>
        <v>0</v>
      </c>
      <c r="D22" s="4">
        <f>B22+C22</f>
        <v>0</v>
      </c>
    </row>
    <row r="23" spans="1:4" x14ac:dyDescent="0.35">
      <c r="A23" s="5" t="s">
        <v>43</v>
      </c>
      <c r="B23" s="4">
        <f>COUNTIFS('Мәтін талдауы'!$F$2:$F$81,A23,'Мәтін талдауы'!$C$2:$C$81,"Ертегі")</f>
        <v>2</v>
      </c>
      <c r="C23" s="4">
        <f>COUNTIFS('Мәтін талдауы'!$F$2:$F$81,A23,'Мәтін талдауы'!$C$2:$C$81,"Жыр")</f>
        <v>2</v>
      </c>
      <c r="D23" s="4">
        <f>B23+C23</f>
        <v>4</v>
      </c>
    </row>
    <row r="24" spans="1:4" x14ac:dyDescent="0.35">
      <c r="A24" s="5" t="s">
        <v>48</v>
      </c>
      <c r="B24" s="4">
        <f>COUNTIFS('Мәтін талдауы'!$F$2:$F$81,A24,'Мәтін талдауы'!$C$2:$C$81,"Ертегі")</f>
        <v>0</v>
      </c>
      <c r="C24" s="4">
        <f>COUNTIFS('Мәтін талдауы'!$F$2:$F$81,A24,'Мәтін талдауы'!$C$2:$C$81,"Жыр")</f>
        <v>0</v>
      </c>
      <c r="D24" s="4">
        <f>B24+C24</f>
        <v>0</v>
      </c>
    </row>
    <row r="26" spans="1:4" x14ac:dyDescent="0.35">
      <c r="A26" s="8" t="s">
        <v>146</v>
      </c>
    </row>
    <row r="27" spans="1:4" x14ac:dyDescent="0.35">
      <c r="A27" s="3" t="s">
        <v>147</v>
      </c>
      <c r="B27" s="3" t="s">
        <v>141</v>
      </c>
      <c r="C27" s="3" t="s">
        <v>142</v>
      </c>
      <c r="D27" s="3" t="s">
        <v>143</v>
      </c>
    </row>
    <row r="28" spans="1:4" x14ac:dyDescent="0.35">
      <c r="A28" s="5" t="s">
        <v>148</v>
      </c>
      <c r="B28" s="4">
        <f>COUNTIFS('Мәтін талдауы'!$I$2:$I$81,"С",'Мәтін талдауы'!$C$2:$C$81,"Ертегі")</f>
        <v>3</v>
      </c>
      <c r="C28" s="4">
        <f>COUNTIFS('Мәтін талдауы'!$I$2:$I$81,"С",'Мәтін талдауы'!$C$2:$C$81,"Жыр")</f>
        <v>1</v>
      </c>
      <c r="D28" s="4">
        <f>B28+C28</f>
        <v>4</v>
      </c>
    </row>
    <row r="29" spans="1:4" x14ac:dyDescent="0.35">
      <c r="A29" s="5" t="s">
        <v>149</v>
      </c>
      <c r="B29" s="4">
        <f>COUNTIFS('Мәтін талдауы'!$I$2:$I$81,"Б",'Мәтін талдауы'!$C$2:$C$81,"Ертегі")</f>
        <v>3</v>
      </c>
      <c r="C29" s="4">
        <f>COUNTIFS('Мәтін талдауы'!$I$2:$I$81,"Б",'Мәтін талдауы'!$C$2:$C$81,"Жыр")</f>
        <v>3</v>
      </c>
      <c r="D29" s="4">
        <f>B29+C29</f>
        <v>6</v>
      </c>
    </row>
    <row r="30" spans="1:4" x14ac:dyDescent="0.35">
      <c r="A30" s="5" t="s">
        <v>150</v>
      </c>
      <c r="B30" s="4">
        <f>COUNTIFS('Мәтін талдауы'!$I$2:$I$81,"Қ",'Мәтін талдауы'!$C$2:$C$81,"Ертегі")</f>
        <v>1</v>
      </c>
      <c r="C30" s="4">
        <f>COUNTIFS('Мәтін талдауы'!$I$2:$I$81,"Қ",'Мәтін талдауы'!$C$2:$C$81,"Жыр")</f>
        <v>5</v>
      </c>
      <c r="D30" s="4">
        <f>B30+C30</f>
        <v>6</v>
      </c>
    </row>
    <row r="31" spans="1:4" x14ac:dyDescent="0.35">
      <c r="A31" s="5" t="s">
        <v>151</v>
      </c>
      <c r="B31" s="4">
        <f>COUNTIFS('Мәтін талдауы'!$I$2:$I$81,"Т",'Мәтін талдауы'!$C$2:$C$81,"Ертегі")</f>
        <v>0</v>
      </c>
      <c r="C31" s="4">
        <f>COUNTIFS('Мәтін талдауы'!$I$2:$I$81,"Т",'Мәтін талдауы'!$C$2:$C$81,"Жыр")</f>
        <v>0</v>
      </c>
      <c r="D31" s="4">
        <f>B31+C31</f>
        <v>0</v>
      </c>
    </row>
    <row r="32" spans="1:4" x14ac:dyDescent="0.35">
      <c r="A32" s="5" t="s">
        <v>152</v>
      </c>
      <c r="B32" s="4">
        <f>COUNTIFS('Мәтін талдауы'!$I$2:$I$81,"Ш",'Мәтін талдауы'!$C$2:$C$81,"Ертегі")</f>
        <v>0</v>
      </c>
      <c r="C32" s="4">
        <f>COUNTIFS('Мәтін талдауы'!$I$2:$I$81,"Ш",'Мәтін талдауы'!$C$2:$C$81,"Жыр")</f>
        <v>0</v>
      </c>
      <c r="D32" s="4">
        <f>B32+C32</f>
        <v>0</v>
      </c>
    </row>
    <row r="34" spans="1:4" x14ac:dyDescent="0.35">
      <c r="A34" s="8" t="s">
        <v>153</v>
      </c>
      <c r="B34" s="4">
        <f>COUNTA(Сауалнама!$B$2:$B$41)</f>
        <v>0</v>
      </c>
    </row>
    <row r="35" spans="1:4" ht="29" x14ac:dyDescent="0.35">
      <c r="A35" s="3" t="s">
        <v>18</v>
      </c>
      <c r="B35" s="3" t="s">
        <v>154</v>
      </c>
      <c r="C35" s="3" t="s">
        <v>155</v>
      </c>
      <c r="D35" s="3" t="s">
        <v>156</v>
      </c>
    </row>
    <row r="36" spans="1:4" x14ac:dyDescent="0.35">
      <c r="A36" s="5" t="s">
        <v>21</v>
      </c>
      <c r="B36" s="4" t="str">
        <f>IFERROR(ROUND(COUNTIF(Сауалнама!$C$2:$C$41,"&gt;=1")/COUNT(Сауалнама!$C$2:$C$41)*100,1),"")</f>
        <v/>
      </c>
      <c r="C36" s="4" t="str">
        <f>IFERROR(ROUND(COUNTIF(Сауалнама!$C$2:$C$41,2)/COUNT(Сауалнама!$C$2:$C$41)*100,1),"")</f>
        <v/>
      </c>
      <c r="D36" s="4" t="str">
        <f>IFERROR(ROUND(COUNTIF(Сауалнама!$D$2:$D$41,1)/COUNT(Сауалнама!$D$2:$D$41)*100,1),"")</f>
        <v/>
      </c>
    </row>
    <row r="37" spans="1:4" x14ac:dyDescent="0.35">
      <c r="A37" s="5" t="s">
        <v>24</v>
      </c>
      <c r="B37" s="4" t="str">
        <f>IFERROR(ROUND(COUNTIF(Сауалнама!$E$2:$E$41,"&gt;=1")/COUNT(Сауалнама!$E$2:$E$41)*100,1),"")</f>
        <v/>
      </c>
      <c r="C37" s="4" t="str">
        <f>IFERROR(ROUND(COUNTIF(Сауалнама!$E$2:$E$41,2)/COUNT(Сауалнама!$E$2:$E$41)*100,1),"")</f>
        <v/>
      </c>
      <c r="D37" s="4" t="str">
        <f>IFERROR(ROUND(COUNTIF(Сауалнама!$F$2:$F$41,1)/COUNT(Сауалнама!$F$2:$F$41)*100,1),"")</f>
        <v/>
      </c>
    </row>
    <row r="38" spans="1:4" x14ac:dyDescent="0.35">
      <c r="A38" s="5" t="s">
        <v>26</v>
      </c>
      <c r="B38" s="4" t="str">
        <f>IFERROR(ROUND(COUNTIF(Сауалнама!$G$2:$G$41,"&gt;=1")/COUNT(Сауалнама!$G$2:$G$41)*100,1),"")</f>
        <v/>
      </c>
      <c r="C38" s="4" t="str">
        <f>IFERROR(ROUND(COUNTIF(Сауалнама!$G$2:$G$41,2)/COUNT(Сауалнама!$G$2:$G$41)*100,1),"")</f>
        <v/>
      </c>
      <c r="D38" s="4" t="str">
        <f>IFERROR(ROUND(COUNTIF(Сауалнама!$H$2:$H$41,1)/COUNT(Сауалнама!$H$2:$H$41)*100,1),"")</f>
        <v/>
      </c>
    </row>
    <row r="39" spans="1:4" x14ac:dyDescent="0.35">
      <c r="A39" s="5" t="s">
        <v>28</v>
      </c>
      <c r="B39" s="4" t="str">
        <f>IFERROR(ROUND(COUNTIF(Сауалнама!$I$2:$I$41,"&gt;=1")/COUNT(Сауалнама!$I$2:$I$41)*100,1),"")</f>
        <v/>
      </c>
      <c r="C39" s="4" t="str">
        <f>IFERROR(ROUND(COUNTIF(Сауалнама!$I$2:$I$41,2)/COUNT(Сауалнама!$I$2:$I$41)*100,1),"")</f>
        <v/>
      </c>
      <c r="D39" s="4" t="str">
        <f>IFERROR(ROUND(COUNTIF(Сауалнама!$J$2:$J$41,1)/COUNT(Сауалнама!$J$2:$J$41)*100,1),"")</f>
        <v/>
      </c>
    </row>
    <row r="40" spans="1:4" x14ac:dyDescent="0.35">
      <c r="A40" s="5" t="s">
        <v>30</v>
      </c>
      <c r="B40" s="4" t="str">
        <f>IFERROR(ROUND(COUNTIF(Сауалнама!$K$2:$K$41,"&gt;=1")/COUNT(Сауалнама!$K$2:$K$41)*100,1),"")</f>
        <v/>
      </c>
      <c r="C40" s="4" t="str">
        <f>IFERROR(ROUND(COUNTIF(Сауалнама!$K$2:$K$41,2)/COUNT(Сауалнама!$K$2:$K$41)*100,1),"")</f>
        <v/>
      </c>
      <c r="D40" s="4" t="str">
        <f>IFERROR(ROUND(COUNTIF(Сауалнама!$L$2:$L$41,1)/COUNT(Сауалнама!$L$2:$L$41)*100,1),"")</f>
        <v/>
      </c>
    </row>
    <row r="41" spans="1:4" x14ac:dyDescent="0.35">
      <c r="A41" s="5" t="s">
        <v>32</v>
      </c>
      <c r="B41" s="4" t="str">
        <f>IFERROR(ROUND(COUNTIF(Сауалнама!$M$2:$M$41,"&gt;=1")/COUNT(Сауалнама!$M$2:$M$41)*100,1),"")</f>
        <v/>
      </c>
      <c r="C41" s="4" t="str">
        <f>IFERROR(ROUND(COUNTIF(Сауалнама!$M$2:$M$41,2)/COUNT(Сауалнама!$M$2:$M$41)*100,1),"")</f>
        <v/>
      </c>
      <c r="D41" s="4" t="str">
        <f>IFERROR(ROUND(COUNTIF(Сауалнама!$N$2:$N$41,1)/COUNT(Сауалнама!$N$2:$N$41)*100,1),"")</f>
        <v/>
      </c>
    </row>
    <row r="42" spans="1:4" x14ac:dyDescent="0.35">
      <c r="A42" s="5" t="s">
        <v>35</v>
      </c>
      <c r="B42" s="4" t="str">
        <f>IFERROR(ROUND(COUNTIF(Сауалнама!$O$2:$O$41,"&gt;=1")/COUNT(Сауалнама!$O$2:$O$41)*100,1),"")</f>
        <v/>
      </c>
      <c r="C42" s="4" t="str">
        <f>IFERROR(ROUND(COUNTIF(Сауалнама!$O$2:$O$41,2)/COUNT(Сауалнама!$O$2:$O$41)*100,1),"")</f>
        <v/>
      </c>
      <c r="D42" s="4" t="str">
        <f>IFERROR(ROUND(COUNTIF(Сауалнама!$P$2:$P$41,1)/COUNT(Сауалнама!$P$2:$P$41)*100,1),"")</f>
        <v/>
      </c>
    </row>
    <row r="43" spans="1:4" x14ac:dyDescent="0.35">
      <c r="A43" s="5" t="s">
        <v>37</v>
      </c>
      <c r="B43" s="4" t="str">
        <f>IFERROR(ROUND(COUNTIF(Сауалнама!$Q$2:$Q$41,"&gt;=1")/COUNT(Сауалнама!$Q$2:$Q$41)*100,1),"")</f>
        <v/>
      </c>
      <c r="C43" s="4" t="str">
        <f>IFERROR(ROUND(COUNTIF(Сауалнама!$Q$2:$Q$41,2)/COUNT(Сауалнама!$Q$2:$Q$41)*100,1),"")</f>
        <v/>
      </c>
      <c r="D43" s="4" t="str">
        <f>IFERROR(ROUND(COUNTIF(Сауалнама!$R$2:$R$41,1)/COUNT(Сауалнама!$R$2:$R$41)*100,1),"")</f>
        <v/>
      </c>
    </row>
    <row r="44" spans="1:4" x14ac:dyDescent="0.35">
      <c r="A44" s="5" t="s">
        <v>40</v>
      </c>
      <c r="B44" s="4" t="str">
        <f>IFERROR(ROUND(COUNTIF(Сауалнама!$S$2:$S$41,"&gt;=1")/COUNT(Сауалнама!$S$2:$S$41)*100,1),"")</f>
        <v/>
      </c>
      <c r="C44" s="4" t="str">
        <f>IFERROR(ROUND(COUNTIF(Сауалнама!$S$2:$S$41,2)/COUNT(Сауалнама!$S$2:$S$41)*100,1),"")</f>
        <v/>
      </c>
      <c r="D44" s="4" t="str">
        <f>IFERROR(ROUND(COUNTIF(Сауалнама!$T$2:$T$41,1)/COUNT(Сауалнама!$T$2:$T$41)*100,1),"")</f>
        <v/>
      </c>
    </row>
    <row r="45" spans="1:4" x14ac:dyDescent="0.35">
      <c r="A45" s="5" t="s">
        <v>42</v>
      </c>
      <c r="B45" s="4" t="str">
        <f>IFERROR(ROUND(COUNTIF(Сауалнама!$U$2:$U$41,"&gt;=1")/COUNT(Сауалнама!$U$2:$U$41)*100,1),"")</f>
        <v/>
      </c>
      <c r="C45" s="4" t="str">
        <f>IFERROR(ROUND(COUNTIF(Сауалнама!$U$2:$U$41,2)/COUNT(Сауалнама!$U$2:$U$41)*100,1),"")</f>
        <v/>
      </c>
      <c r="D45" s="4" t="str">
        <f>IFERROR(ROUND(COUNTIF(Сауалнама!$V$2:$V$41,1)/COUNT(Сауалнама!$V$2:$V$41)*100,1),"")</f>
        <v/>
      </c>
    </row>
    <row r="46" spans="1:4" x14ac:dyDescent="0.35">
      <c r="A46" s="5" t="s">
        <v>45</v>
      </c>
      <c r="B46" s="4" t="str">
        <f>IFERROR(ROUND(COUNTIF(Сауалнама!$W$2:$W$41,"&gt;=1")/COUNT(Сауалнама!$W$2:$W$41)*100,1),"")</f>
        <v/>
      </c>
      <c r="C46" s="4" t="str">
        <f>IFERROR(ROUND(COUNTIF(Сауалнама!$W$2:$W$41,2)/COUNT(Сауалнама!$W$2:$W$41)*100,1),"")</f>
        <v/>
      </c>
      <c r="D46" s="4" t="str">
        <f>IFERROR(ROUND(COUNTIF(Сауалнама!$X$2:$X$41,1)/COUNT(Сауалнама!$X$2:$X$41)*100,1),"")</f>
        <v/>
      </c>
    </row>
    <row r="47" spans="1:4" x14ac:dyDescent="0.35">
      <c r="A47" s="5" t="s">
        <v>47</v>
      </c>
      <c r="B47" s="4" t="str">
        <f>IFERROR(ROUND(COUNTIF(Сауалнама!$Y$2:$Y$41,"&gt;=1")/COUNT(Сауалнама!$Y$2:$Y$41)*100,1),"")</f>
        <v/>
      </c>
      <c r="C47" s="4" t="str">
        <f>IFERROR(ROUND(COUNTIF(Сауалнама!$Y$2:$Y$41,2)/COUNT(Сауалнама!$Y$2:$Y$41)*100,1),"")</f>
        <v/>
      </c>
      <c r="D47" s="4" t="str">
        <f>IFERROR(ROUND(COUNTIF(Сауалнама!$Z$2:$Z$41,1)/COUNT(Сауалнама!$Z$2:$Z$41)*100,1),"")</f>
        <v/>
      </c>
    </row>
  </sheetData>
  <pageMargins left="0.75" right="0.75" top="1" bottom="1" header="0.5" footer="0.5"/>
  <pageSetup paperSize="9"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vt:i4>
      </vt:variant>
    </vt:vector>
  </HeadingPairs>
  <TitlesOfParts>
    <vt:vector size="6" baseType="lpstr">
      <vt:lpstr>Нұсқау</vt:lpstr>
      <vt:lpstr>Ойындар</vt:lpstr>
      <vt:lpstr>Шығармалар</vt:lpstr>
      <vt:lpstr>Мәтін талдауы</vt:lpstr>
      <vt:lpstr>Сауалнама</vt:lpstr>
      <vt:lpstr>Қорытынды</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Tattigul</cp:lastModifiedBy>
  <dcterms:created xsi:type="dcterms:W3CDTF">2026-10-03T11:19:13Z</dcterms:created>
  <dcterms:modified xsi:type="dcterms:W3CDTF">2026-10-04T08:15:23Z</dcterms:modified>
</cp:coreProperties>
</file>