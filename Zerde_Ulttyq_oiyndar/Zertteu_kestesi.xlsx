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ұсқау" sheetId="1" state="visible" r:id="rId1"/>
    <sheet xmlns:r="http://schemas.openxmlformats.org/officeDocument/2006/relationships" name="Ойындар" sheetId="2" state="visible" r:id="rId2"/>
    <sheet xmlns:r="http://schemas.openxmlformats.org/officeDocument/2006/relationships" name="Шығармалар" sheetId="3" state="visible" r:id="rId3"/>
    <sheet xmlns:r="http://schemas.openxmlformats.org/officeDocument/2006/relationships" name="Мәтін талдауы" sheetId="4" state="visible" r:id="rId4"/>
    <sheet xmlns:r="http://schemas.openxmlformats.org/officeDocument/2006/relationships" name="Сауалнама" sheetId="5" state="visible" r:id="rId5"/>
    <sheet xmlns:r="http://schemas.openxmlformats.org/officeDocument/2006/relationships" name="Қорытынды"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sz val="11"/>
    </font>
    <font>
      <b val="1"/>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3" borderId="1" applyAlignment="1" pivotButton="0" quotePrefix="0" xfId="0">
      <alignment horizontal="center" vertical="center" wrapText="1"/>
    </xf>
    <xf numFmtId="0" fontId="3" fillId="0" borderId="0"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Ойындардың шығармаларда кездесуі</a:t>
            </a:r>
          </a:p>
        </rich>
      </tx>
    </title>
    <plotArea>
      <barChart>
        <barDir val="bar"/>
        <grouping val="stacked"/>
        <ser>
          <idx val="0"/>
          <order val="0"/>
          <tx>
            <strRef>
              <f>'Қорытынды'!B2</f>
            </strRef>
          </tx>
          <spPr>
            <a:ln xmlns:a="http://schemas.openxmlformats.org/drawingml/2006/main">
              <a:prstDash val="solid"/>
            </a:ln>
          </spPr>
          <cat>
            <numRef>
              <f>'Қорытынды'!$A$3:$A$15</f>
            </numRef>
          </cat>
          <val>
            <numRef>
              <f>'Қорытынды'!$B$3:$B$15</f>
            </numRef>
          </val>
        </ser>
        <ser>
          <idx val="1"/>
          <order val="1"/>
          <tx>
            <strRef>
              <f>'Қорытынды'!C2</f>
            </strRef>
          </tx>
          <spPr>
            <a:ln xmlns:a="http://schemas.openxmlformats.org/drawingml/2006/main">
              <a:prstDash val="solid"/>
            </a:ln>
          </spPr>
          <cat>
            <numRef>
              <f>'Қорытынды'!$A$3:$A$15</f>
            </numRef>
          </cat>
          <val>
            <numRef>
              <f>'Қорытынды'!$C$3:$C$15</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Ойынның сюжеттегі қызметі</a:t>
            </a:r>
          </a:p>
        </rich>
      </tx>
    </title>
    <plotArea>
      <barChart>
        <barDir val="col"/>
        <grouping val="clustered"/>
        <ser>
          <idx val="0"/>
          <order val="0"/>
          <tx>
            <strRef>
              <f>'Қорытынды'!B27</f>
            </strRef>
          </tx>
          <spPr>
            <a:ln xmlns:a="http://schemas.openxmlformats.org/drawingml/2006/main">
              <a:prstDash val="solid"/>
            </a:ln>
          </spPr>
          <cat>
            <numRef>
              <f>'Қорытынды'!$A$28:$A$32</f>
            </numRef>
          </cat>
          <val>
            <numRef>
              <f>'Қорытынды'!$B$28:$B$32</f>
            </numRef>
          </val>
        </ser>
        <ser>
          <idx val="1"/>
          <order val="1"/>
          <tx>
            <strRef>
              <f>'Қорытынды'!C27</f>
            </strRef>
          </tx>
          <spPr>
            <a:ln xmlns:a="http://schemas.openxmlformats.org/drawingml/2006/main">
              <a:prstDash val="solid"/>
            </a:ln>
          </spPr>
          <cat>
            <numRef>
              <f>'Қорытынды'!$A$28:$A$32</f>
            </numRef>
          </cat>
          <val>
            <numRef>
              <f>'Қорытынды'!$C$28:$C$32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Сауалнама: ойындарды білу, %</a:t>
            </a:r>
          </a:p>
        </rich>
      </tx>
    </title>
    <plotArea>
      <barChart>
        <barDir val="bar"/>
        <grouping val="clustered"/>
        <ser>
          <idx val="0"/>
          <order val="0"/>
          <tx>
            <strRef>
              <f>'Қорытынды'!B35</f>
            </strRef>
          </tx>
          <spPr>
            <a:ln xmlns:a="http://schemas.openxmlformats.org/drawingml/2006/main">
              <a:prstDash val="solid"/>
            </a:ln>
          </spPr>
          <cat>
            <numRef>
              <f>'Қорытынды'!$A$36:$A$47</f>
            </numRef>
          </cat>
          <val>
            <numRef>
              <f>'Қорытынды'!$B$36:$B$47</f>
            </numRef>
          </val>
        </ser>
        <ser>
          <idx val="1"/>
          <order val="1"/>
          <tx>
            <strRef>
              <f>'Қорытынды'!C35</f>
            </strRef>
          </tx>
          <spPr>
            <a:ln xmlns:a="http://schemas.openxmlformats.org/drawingml/2006/main">
              <a:prstDash val="solid"/>
            </a:ln>
          </spPr>
          <cat>
            <numRef>
              <f>'Қорытынды'!$A$36:$A$47</f>
            </numRef>
          </cat>
          <val>
            <numRef>
              <f>'Қорытынды'!$C$36:$C$47</f>
            </numRef>
          </val>
        </ser>
        <ser>
          <idx val="2"/>
          <order val="2"/>
          <tx>
            <strRef>
              <f>'Қорытынды'!D35</f>
            </strRef>
          </tx>
          <spPr>
            <a:ln xmlns:a="http://schemas.openxmlformats.org/drawingml/2006/main">
              <a:prstDash val="solid"/>
            </a:ln>
          </spPr>
          <cat>
            <numRef>
              <f>'Қорытынды'!$A$36:$A$47</f>
            </numRef>
          </cat>
          <val>
            <numRef>
              <f>'Қорытынды'!$D$36:$D$47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7</col>
      <colOff>0</colOff>
      <row>0</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19"/>
  <sheetViews>
    <sheetView workbookViewId="0">
      <selection activeCell="A1" sqref="A1"/>
    </sheetView>
  </sheetViews>
  <sheetFormatPr baseColWidth="8" defaultRowHeight="15"/>
  <cols>
    <col width="115" customWidth="1" min="1" max="1"/>
  </cols>
  <sheetData>
    <row r="1">
      <c r="A1" s="1" t="inlineStr">
        <is>
          <t>ЗЕРТТЕУ КЕСТЕСІН ТОЛТЫРУ НҰСҚАУЫ</t>
        </is>
      </c>
    </row>
    <row r="2">
      <c r="A2" s="2" t="inlineStr">
        <is>
          <t>Сары ұяшықтарды ғана толтырыңыз. «Қорытынды» парағы өздігінен есептеледі.</t>
        </is>
      </c>
    </row>
    <row r="3">
      <c r="A3" s="2" t="inlineStr"/>
    </row>
    <row r="4">
      <c r="A4" s="1" t="inlineStr">
        <is>
          <t>1-КЕЗЕҢ. Мәтін талдауы</t>
        </is>
      </c>
    </row>
    <row r="5">
      <c r="A5" s="2" t="inlineStr">
        <is>
          <t>1. «Шығармалар» парағындағы 15 шығарманы оқыңыз. Қай кітаптан (баспасы, жылы) оқығаныңызды жазып, «Оқылды» бағанына «иә» деп белгілеңіз.</t>
        </is>
      </c>
    </row>
    <row r="6">
      <c r="A6" s="2" t="inlineStr">
        <is>
          <t>2. Шығармада ұлттық ойын кездессе, «Мәтін талдауы» парағына жаңа жол қосыңыз: бір эпизод – бір жол.</t>
        </is>
      </c>
    </row>
    <row r="7">
      <c r="A7" s="2" t="inlineStr">
        <is>
          <t>3. Ойынды тізімнен таңдаңыз. Тізімде жоқ болса, «Басқа» деп таңдап, атауын келесі бағанға жазыңыз.</t>
        </is>
      </c>
    </row>
    <row r="8">
      <c r="A8" s="2" t="inlineStr">
        <is>
          <t>4. Эпизодты 1–2 сөйлеммен өз сөзіңізбен жазыңыз және мәтіннен қысқа үзінді (дәйексөз) мен бетін көрсетіңіз.</t>
        </is>
      </c>
    </row>
    <row r="9">
      <c r="A9" s="2" t="inlineStr">
        <is>
          <t>5. Ойынның сюжеттегі негізгі қызметін бір кодпен белгілеңіз:</t>
        </is>
      </c>
    </row>
    <row r="10">
      <c r="A10" s="2" t="inlineStr">
        <is>
          <t xml:space="preserve">     С – Сынақ: Қаһарман ойын арқылы сыналады: қалыңдық, атақ немесе сенім үшін жарысады</t>
        </is>
      </c>
    </row>
    <row r="11">
      <c r="A11" s="2" t="inlineStr">
        <is>
          <t xml:space="preserve">     Б – Сюжетті бастау: Ойын кезіндегі оқиға кейіпкерді жолға шығарады немесе жаңа оқиғаны бастайды</t>
        </is>
      </c>
    </row>
    <row r="12">
      <c r="A12" s="2" t="inlineStr">
        <is>
          <t xml:space="preserve">     Қ – Қасиетін көрсету: Ойын кейіпкердің күшін, ептілігін, ақылын немесе тапқырлығын көрсетеді</t>
        </is>
      </c>
    </row>
    <row r="13">
      <c r="A13" s="2" t="inlineStr">
        <is>
          <t xml:space="preserve">     Т – Той-думан көрінісі: Ойын той, ас, мереке суретінің бөлігі ретінде сипатталады</t>
        </is>
      </c>
    </row>
    <row r="14">
      <c r="A14" s="2" t="inlineStr">
        <is>
          <t xml:space="preserve">     Ш – Шешуші сәт: Ойынның нәтижесі қақтығысты шешеді немесе кейіпкердің тағдырын өзгертеді</t>
        </is>
      </c>
    </row>
    <row r="15">
      <c r="A15" s="2" t="inlineStr">
        <is>
          <t>6. Ойын тек аталып өтсе де (мысалы, «той болып, бәйге шабылды»), оны жазыңыз – қызметі «Т» болады.</t>
        </is>
      </c>
    </row>
    <row r="16">
      <c r="A16" s="2" t="inlineStr"/>
    </row>
    <row r="17">
      <c r="A17" s="1" t="inlineStr">
        <is>
          <t>2-КЕЗЕҢ. Сауалнама</t>
        </is>
      </c>
    </row>
    <row r="18">
      <c r="A18" s="2" t="inlineStr">
        <is>
          <t>7. Сауалнаманы тек ата-ананың жазбаша келісімі алынған сыныптастар толтырады. Есімдерін жазбаңыз: әр қатысушыға код беріңіз (С01, С02 …).</t>
        </is>
      </c>
    </row>
    <row r="19">
      <c r="A19" s="2" t="inlineStr">
        <is>
          <t>8. Әр ойын бойынша екі сұрақ: «Бұл ойынды білесің бе?» (0 – білмеймін, 1 – естігенмін, 2 – ойнағанмын/көргенмін) және «Ертегіден не жырдан оқыдың ба?» (1 – иә, 0 – жоқ).</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D14"/>
  <sheetViews>
    <sheetView workbookViewId="0">
      <selection activeCell="A1" sqref="A1"/>
    </sheetView>
  </sheetViews>
  <sheetFormatPr baseColWidth="8" defaultRowHeight="15"/>
  <cols>
    <col width="5" customWidth="1" min="1" max="1"/>
    <col width="18" customWidth="1" min="2" max="2"/>
    <col width="30" customWidth="1" min="3" max="3"/>
    <col width="90" customWidth="1" min="4" max="4"/>
  </cols>
  <sheetData>
    <row r="1">
      <c r="A1" s="3" t="inlineStr">
        <is>
          <t>№</t>
        </is>
      </c>
      <c r="B1" s="3" t="inlineStr">
        <is>
          <t>Ойын</t>
        </is>
      </c>
      <c r="C1" s="3" t="inlineStr">
        <is>
          <t>Түрі</t>
        </is>
      </c>
      <c r="D1" s="3" t="inlineStr">
        <is>
          <t>Қысқаша ережесі</t>
        </is>
      </c>
    </row>
    <row r="2">
      <c r="A2" s="4" t="n">
        <v>1</v>
      </c>
      <c r="B2" s="5" t="inlineStr">
        <is>
          <t>Бәйге</t>
        </is>
      </c>
      <c r="C2" s="5" t="inlineStr">
        <is>
          <t>Ат ойындары</t>
        </is>
      </c>
      <c r="D2" s="5" t="inlineStr">
        <is>
          <t>Ат жарысы. Аттар белгіленген жерден бірге шығып, мәреге бірінші жеткен ат жеңеді. Ұзақ қашықтыққа шабылатын түрі – аламан бәйге.</t>
        </is>
      </c>
    </row>
    <row r="3">
      <c r="A3" s="4" t="n">
        <v>2</v>
      </c>
      <c r="B3" s="5" t="inlineStr">
        <is>
          <t>Көкпар</t>
        </is>
      </c>
      <c r="C3" s="5" t="inlineStr">
        <is>
          <t>Ат ойындары</t>
        </is>
      </c>
      <c r="D3" s="5" t="inlineStr">
        <is>
          <t>Шабандоздар ат үстінде серкенің немесе ешкінің тұлыбын бір-бірінен тартып алып, межелі жерге жеткізуге тырысады.</t>
        </is>
      </c>
    </row>
    <row r="4">
      <c r="A4" s="4" t="n">
        <v>3</v>
      </c>
      <c r="B4" s="5" t="inlineStr">
        <is>
          <t>Қыз қуу</t>
        </is>
      </c>
      <c r="C4" s="5" t="inlineStr">
        <is>
          <t>Ат ойындары</t>
        </is>
      </c>
      <c r="D4" s="5" t="inlineStr">
        <is>
          <t>Жігіт атпен шауып, қызды қуып жетуі керек. Жете алмаса, кері қайтқанда қыз оны қамшымен қуады.</t>
        </is>
      </c>
    </row>
    <row r="5">
      <c r="A5" s="4" t="n">
        <v>4</v>
      </c>
      <c r="B5" s="5" t="inlineStr">
        <is>
          <t>Теңге алу</t>
        </is>
      </c>
      <c r="C5" s="5" t="inlineStr">
        <is>
          <t>Ат ойындары</t>
        </is>
      </c>
      <c r="D5" s="5" t="inlineStr">
        <is>
          <t>Шабандоз шауып келе жатып, еңкейіп, жерде жатқан теңгені немесе орамалды іліп алады.</t>
        </is>
      </c>
    </row>
    <row r="6">
      <c r="A6" s="4" t="n">
        <v>5</v>
      </c>
      <c r="B6" s="5" t="inlineStr">
        <is>
          <t>Аударыспақ</t>
        </is>
      </c>
      <c r="C6" s="5" t="inlineStr">
        <is>
          <t>Ат ойындары</t>
        </is>
      </c>
      <c r="D6" s="5" t="inlineStr">
        <is>
          <t>Ат үстіндегі екі балуан бір-бірін аттан аударып түсіруге тырысады.</t>
        </is>
      </c>
    </row>
    <row r="7">
      <c r="A7" s="4" t="n">
        <v>6</v>
      </c>
      <c r="B7" s="5" t="inlineStr">
        <is>
          <t>Күрес</t>
        </is>
      </c>
      <c r="C7" s="5" t="inlineStr">
        <is>
          <t>Күш және мергендік ойындары</t>
        </is>
      </c>
      <c r="D7" s="5" t="inlineStr">
        <is>
          <t>Екі балуан белбеуден ұстап белдеседі. Қарсыласын жауырынымен жерге түсірген жеңеді.</t>
        </is>
      </c>
    </row>
    <row r="8">
      <c r="A8" s="4" t="n">
        <v>7</v>
      </c>
      <c r="B8" s="5" t="inlineStr">
        <is>
          <t>Жамбы ату</t>
        </is>
      </c>
      <c r="C8" s="5" t="inlineStr">
        <is>
          <t>Күш және мергендік ойындары</t>
        </is>
      </c>
      <c r="D8" s="5" t="inlineStr">
        <is>
          <t>Мерген ат үстінде шауып келе жатып, биік ағашқа ілінген жамбыны (күміс құймасын) садақпен атып түсіреді.</t>
        </is>
      </c>
    </row>
    <row r="9">
      <c r="A9" s="4" t="n">
        <v>8</v>
      </c>
      <c r="B9" s="5" t="inlineStr">
        <is>
          <t>Тоғызқұмалақ</t>
        </is>
      </c>
      <c r="C9" s="5" t="inlineStr">
        <is>
          <t>Зияткерлік және сөз ойындары</t>
        </is>
      </c>
      <c r="D9" s="5" t="inlineStr">
        <is>
          <t>Екі ойыншы ойнайды. Әрқайсысында 9 отау, әр отауда 9 құмалақтан болады. Құмалақтар отаулар бойынша таратылады, 81-ден көп құмалақ жинаған жеңеді.</t>
        </is>
      </c>
    </row>
    <row r="10">
      <c r="A10" s="4" t="n">
        <v>9</v>
      </c>
      <c r="B10" s="5" t="inlineStr">
        <is>
          <t>Жұмбақ айтысу</t>
        </is>
      </c>
      <c r="C10" s="5" t="inlineStr">
        <is>
          <t>Зияткерлік және сөз ойындары</t>
        </is>
      </c>
      <c r="D10" s="5" t="inlineStr">
        <is>
          <t>Екі жақ бір-біріне кезекпен жұмбақ айтады. Жұмбақты шеше алмаған жақ жеңіледі.</t>
        </is>
      </c>
    </row>
    <row r="11">
      <c r="A11" s="4" t="n">
        <v>10</v>
      </c>
      <c r="B11" s="5" t="inlineStr">
        <is>
          <t>Асық</t>
        </is>
      </c>
      <c r="C11" s="5" t="inlineStr">
        <is>
          <t>Балалар ойындары</t>
        </is>
      </c>
      <c r="D11" s="5" t="inlineStr">
        <is>
          <t>Асықтар қатарға тізіліп, ойыншылар оларды сақамен атып ұтып алады. Асықтың төрт жағы бар: алшы, тәйке, бүк, шік.</t>
        </is>
      </c>
    </row>
    <row r="12">
      <c r="A12" s="4" t="n">
        <v>11</v>
      </c>
      <c r="B12" s="5" t="inlineStr">
        <is>
          <t>Ақсүйек</t>
        </is>
      </c>
      <c r="C12" s="5" t="inlineStr">
        <is>
          <t>Балалар ойындары</t>
        </is>
      </c>
      <c r="D12" s="5" t="inlineStr">
        <is>
          <t>Айлы түнде ойналады. Ақ сүйекті алысқа лақтырады, екі топ оны іздеп тауып, өз жағына жеткізуге тырысады.</t>
        </is>
      </c>
    </row>
    <row r="13">
      <c r="A13" s="4" t="n">
        <v>12</v>
      </c>
      <c r="B13" s="5" t="inlineStr">
        <is>
          <t>Алтыбақан</t>
        </is>
      </c>
      <c r="C13" s="5" t="inlineStr">
        <is>
          <t>Ойын-сауық</t>
        </is>
      </c>
      <c r="D13" s="5" t="inlineStr">
        <is>
          <t>Алты ұзын ағаштан құрылған әткеншек. Кешке жастар жиналып, тербеліп, ән айтып, ойын-сауық құрады.</t>
        </is>
      </c>
    </row>
    <row r="14">
      <c r="A14" s="4" t="n">
        <v>13</v>
      </c>
      <c r="B14" s="5" t="inlineStr">
        <is>
          <t>Басқа</t>
        </is>
      </c>
      <c r="C14" s="5" t="inlineStr">
        <is>
          <t>Басқа ойындар</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E16"/>
  <sheetViews>
    <sheetView workbookViewId="0">
      <selection activeCell="A1" sqref="A1"/>
    </sheetView>
  </sheetViews>
  <sheetFormatPr baseColWidth="8" defaultRowHeight="15"/>
  <cols>
    <col width="5" customWidth="1" min="1" max="1"/>
    <col width="30" customWidth="1" min="2" max="2"/>
    <col width="10" customWidth="1" min="3" max="3"/>
    <col width="55" customWidth="1" min="4" max="4"/>
    <col width="14" customWidth="1" min="5" max="5"/>
  </cols>
  <sheetData>
    <row r="1">
      <c r="A1" s="3" t="inlineStr">
        <is>
          <t>№</t>
        </is>
      </c>
      <c r="B1" s="3" t="inlineStr">
        <is>
          <t>Шығарма</t>
        </is>
      </c>
      <c r="C1" s="3" t="inlineStr">
        <is>
          <t>Жанры</t>
        </is>
      </c>
      <c r="D1" s="3" t="inlineStr">
        <is>
          <t>Оқыған басылым (кітап, баспа, жылы)</t>
        </is>
      </c>
      <c r="E1" s="3" t="inlineStr">
        <is>
          <t>Оқылды (иә/жоқ)</t>
        </is>
      </c>
    </row>
    <row r="2">
      <c r="A2" s="4" t="n">
        <v>1</v>
      </c>
      <c r="B2" s="5" t="inlineStr">
        <is>
          <t>Ер Төстік</t>
        </is>
      </c>
      <c r="C2" s="4" t="inlineStr">
        <is>
          <t>Ертегі</t>
        </is>
      </c>
      <c r="D2" s="6" t="n"/>
      <c r="E2" s="7" t="n"/>
    </row>
    <row r="3">
      <c r="A3" s="4" t="n">
        <v>2</v>
      </c>
      <c r="B3" s="5" t="inlineStr">
        <is>
          <t>Керқұла атты Кендебай</t>
        </is>
      </c>
      <c r="C3" s="4" t="inlineStr">
        <is>
          <t>Ертегі</t>
        </is>
      </c>
      <c r="D3" s="6" t="n"/>
      <c r="E3" s="7" t="n"/>
    </row>
    <row r="4">
      <c r="A4" s="4" t="n">
        <v>3</v>
      </c>
      <c r="B4" s="5" t="inlineStr">
        <is>
          <t>Алтын сақа</t>
        </is>
      </c>
      <c r="C4" s="4" t="inlineStr">
        <is>
          <t>Ертегі</t>
        </is>
      </c>
      <c r="D4" s="6" t="n"/>
      <c r="E4" s="7" t="n"/>
    </row>
    <row r="5">
      <c r="A5" s="4" t="n">
        <v>4</v>
      </c>
      <c r="B5" s="5" t="inlineStr">
        <is>
          <t>Аяз би</t>
        </is>
      </c>
      <c r="C5" s="4" t="inlineStr">
        <is>
          <t>Ертегі</t>
        </is>
      </c>
      <c r="D5" s="6" t="n"/>
      <c r="E5" s="7" t="n"/>
    </row>
    <row r="6">
      <c r="A6" s="4" t="n">
        <v>5</v>
      </c>
      <c r="B6" s="5" t="inlineStr">
        <is>
          <t>Жиренше шешен</t>
        </is>
      </c>
      <c r="C6" s="4" t="inlineStr">
        <is>
          <t>Ертегі</t>
        </is>
      </c>
      <c r="D6" s="6" t="n"/>
      <c r="E6" s="7" t="n"/>
    </row>
    <row r="7">
      <c r="A7" s="4" t="n">
        <v>6</v>
      </c>
      <c r="B7" s="5" t="inlineStr">
        <is>
          <t>Алдар Көсе әңгімелері</t>
        </is>
      </c>
      <c r="C7" s="4" t="inlineStr">
        <is>
          <t>Ертегі</t>
        </is>
      </c>
      <c r="D7" s="6" t="n"/>
      <c r="E7" s="7" t="n"/>
    </row>
    <row r="8">
      <c r="A8" s="4" t="n">
        <v>7</v>
      </c>
      <c r="B8" s="5" t="inlineStr">
        <is>
          <t>Қаңбақ шал</t>
        </is>
      </c>
      <c r="C8" s="4" t="inlineStr">
        <is>
          <t>Ертегі</t>
        </is>
      </c>
      <c r="D8" s="6" t="n"/>
      <c r="E8" s="7" t="n"/>
    </row>
    <row r="9">
      <c r="A9" s="4" t="n">
        <v>8</v>
      </c>
      <c r="B9" s="5" t="inlineStr">
        <is>
          <t>Күн астындағы Күнікей қыз</t>
        </is>
      </c>
      <c r="C9" s="4" t="inlineStr">
        <is>
          <t>Ертегі</t>
        </is>
      </c>
      <c r="D9" s="6" t="n"/>
      <c r="E9" s="7" t="n"/>
    </row>
    <row r="10">
      <c r="A10" s="4" t="n">
        <v>9</v>
      </c>
      <c r="B10" s="5" t="inlineStr">
        <is>
          <t>Алпамыс батыр</t>
        </is>
      </c>
      <c r="C10" s="4" t="inlineStr">
        <is>
          <t>Жыр</t>
        </is>
      </c>
      <c r="D10" s="6" t="n"/>
      <c r="E10" s="7" t="n"/>
    </row>
    <row r="11">
      <c r="A11" s="4" t="n">
        <v>10</v>
      </c>
      <c r="B11" s="5" t="inlineStr">
        <is>
          <t>Қобыланды батыр</t>
        </is>
      </c>
      <c r="C11" s="4" t="inlineStr">
        <is>
          <t>Жыр</t>
        </is>
      </c>
      <c r="D11" s="6" t="n"/>
      <c r="E11" s="7" t="n"/>
    </row>
    <row r="12">
      <c r="A12" s="4" t="n">
        <v>11</v>
      </c>
      <c r="B12" s="5" t="inlineStr">
        <is>
          <t>Ер Тарғын</t>
        </is>
      </c>
      <c r="C12" s="4" t="inlineStr">
        <is>
          <t>Жыр</t>
        </is>
      </c>
      <c r="D12" s="6" t="n"/>
      <c r="E12" s="7" t="n"/>
    </row>
    <row r="13">
      <c r="A13" s="4" t="n">
        <v>12</v>
      </c>
      <c r="B13" s="5" t="inlineStr">
        <is>
          <t>Қамбар батыр</t>
        </is>
      </c>
      <c r="C13" s="4" t="inlineStr">
        <is>
          <t>Жыр</t>
        </is>
      </c>
      <c r="D13" s="6" t="n"/>
      <c r="E13" s="7" t="n"/>
    </row>
    <row r="14">
      <c r="A14" s="4" t="n">
        <v>13</v>
      </c>
      <c r="B14" s="5" t="inlineStr">
        <is>
          <t>Қыз Жібек</t>
        </is>
      </c>
      <c r="C14" s="4" t="inlineStr">
        <is>
          <t>Жыр</t>
        </is>
      </c>
      <c r="D14" s="6" t="n"/>
      <c r="E14" s="7" t="n"/>
    </row>
    <row r="15">
      <c r="A15" s="4" t="n">
        <v>14</v>
      </c>
      <c r="B15" s="5" t="inlineStr">
        <is>
          <t>Қозы Көрпеш – Баян сұлу</t>
        </is>
      </c>
      <c r="C15" s="4" t="inlineStr">
        <is>
          <t>Жыр</t>
        </is>
      </c>
      <c r="D15" s="6" t="n"/>
      <c r="E15" s="7" t="n"/>
    </row>
    <row r="16">
      <c r="A16" s="4" t="n">
        <v>15</v>
      </c>
      <c r="B16" s="5" t="inlineStr">
        <is>
          <t>Айман – Шолпан</t>
        </is>
      </c>
      <c r="C16" s="4" t="inlineStr">
        <is>
          <t>Жыр</t>
        </is>
      </c>
      <c r="D16" s="6" t="n"/>
      <c r="E16" s="7" t="n"/>
    </row>
  </sheetData>
  <dataValidations count="1">
    <dataValidation sqref="E2 E3 E4 E5 E6 E7 E8 E9 E10 E11 E12 E13 E14 E15 E16" showDropDown="0" showInputMessage="0" showErrorMessage="0" allowBlank="1" type="list">
      <formula1>"иә,жоқ"</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K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9" customWidth="1" min="3" max="3"/>
    <col width="16" customWidth="1" min="4" max="4"/>
    <col width="16" customWidth="1" min="5" max="5"/>
    <col width="24" customWidth="1" min="6" max="6"/>
    <col width="16" customWidth="1" min="7" max="7"/>
    <col width="48" customWidth="1" min="8" max="8"/>
    <col width="10" customWidth="1" min="9" max="9"/>
    <col width="40" customWidth="1" min="10" max="10"/>
    <col width="7" customWidth="1" min="11" max="11"/>
  </cols>
  <sheetData>
    <row r="1">
      <c r="A1" s="3" t="inlineStr">
        <is>
          <t>№</t>
        </is>
      </c>
      <c r="B1" s="3" t="inlineStr">
        <is>
          <t>Шығарма</t>
        </is>
      </c>
      <c r="C1" s="3" t="inlineStr">
        <is>
          <t>Жанры</t>
        </is>
      </c>
      <c r="D1" s="3" t="inlineStr">
        <is>
          <t>Ойын</t>
        </is>
      </c>
      <c r="E1" s="3" t="inlineStr">
        <is>
          <t>Басқа ойын атауы</t>
        </is>
      </c>
      <c r="F1" s="3" t="inlineStr">
        <is>
          <t>Ойын түрі</t>
        </is>
      </c>
      <c r="G1" s="3" t="inlineStr">
        <is>
          <t>Кейіпкер</t>
        </is>
      </c>
      <c r="H1" s="3" t="inlineStr">
        <is>
          <t>Эпизод (өз сөзіңізбен)</t>
        </is>
      </c>
      <c r="I1" s="3" t="inlineStr">
        <is>
          <t>Қызметі (код)</t>
        </is>
      </c>
      <c r="J1" s="3" t="inlineStr">
        <is>
          <t>Дәйексөз (қысқа үзінді)</t>
        </is>
      </c>
      <c r="K1" s="3" t="inlineStr">
        <is>
          <t>Беті</t>
        </is>
      </c>
    </row>
    <row r="2">
      <c r="A2" s="4" t="n">
        <v>1</v>
      </c>
      <c r="B2" s="6" t="n"/>
      <c r="C2" s="4">
        <f>IFERROR(VLOOKUP(B2,Шығармалар!$B$2:$C$16,2,0),"")</f>
        <v/>
      </c>
      <c r="D2" s="6" t="n"/>
      <c r="E2" s="6" t="n"/>
      <c r="F2" s="5">
        <f>IFERROR(VLOOKUP(D2,Ойындар!$B$2:$C$14,2,0),"")</f>
        <v/>
      </c>
      <c r="G2" s="6" t="n"/>
      <c r="H2" s="6" t="n"/>
      <c r="I2" s="7" t="n"/>
      <c r="J2" s="6" t="n"/>
      <c r="K2" s="7" t="n"/>
    </row>
    <row r="3">
      <c r="A3" s="4" t="n">
        <v>2</v>
      </c>
      <c r="B3" s="6" t="n"/>
      <c r="C3" s="4">
        <f>IFERROR(VLOOKUP(B3,Шығармалар!$B$2:$C$16,2,0),"")</f>
        <v/>
      </c>
      <c r="D3" s="6" t="n"/>
      <c r="E3" s="6" t="n"/>
      <c r="F3" s="5">
        <f>IFERROR(VLOOKUP(D3,Ойындар!$B$2:$C$14,2,0),"")</f>
        <v/>
      </c>
      <c r="G3" s="6" t="n"/>
      <c r="H3" s="6" t="n"/>
      <c r="I3" s="7" t="n"/>
      <c r="J3" s="6" t="n"/>
      <c r="K3" s="7" t="n"/>
    </row>
    <row r="4">
      <c r="A4" s="4" t="n">
        <v>3</v>
      </c>
      <c r="B4" s="6" t="n"/>
      <c r="C4" s="4">
        <f>IFERROR(VLOOKUP(B4,Шығармалар!$B$2:$C$16,2,0),"")</f>
        <v/>
      </c>
      <c r="D4" s="6" t="n"/>
      <c r="E4" s="6" t="n"/>
      <c r="F4" s="5">
        <f>IFERROR(VLOOKUP(D4,Ойындар!$B$2:$C$14,2,0),"")</f>
        <v/>
      </c>
      <c r="G4" s="6" t="n"/>
      <c r="H4" s="6" t="n"/>
      <c r="I4" s="7" t="n"/>
      <c r="J4" s="6" t="n"/>
      <c r="K4" s="7" t="n"/>
    </row>
    <row r="5">
      <c r="A5" s="4" t="n">
        <v>4</v>
      </c>
      <c r="B5" s="6" t="n"/>
      <c r="C5" s="4">
        <f>IFERROR(VLOOKUP(B5,Шығармалар!$B$2:$C$16,2,0),"")</f>
        <v/>
      </c>
      <c r="D5" s="6" t="n"/>
      <c r="E5" s="6" t="n"/>
      <c r="F5" s="5">
        <f>IFERROR(VLOOKUP(D5,Ойындар!$B$2:$C$14,2,0),"")</f>
        <v/>
      </c>
      <c r="G5" s="6" t="n"/>
      <c r="H5" s="6" t="n"/>
      <c r="I5" s="7" t="n"/>
      <c r="J5" s="6" t="n"/>
      <c r="K5" s="7" t="n"/>
    </row>
    <row r="6">
      <c r="A6" s="4" t="n">
        <v>5</v>
      </c>
      <c r="B6" s="6" t="n"/>
      <c r="C6" s="4">
        <f>IFERROR(VLOOKUP(B6,Шығармалар!$B$2:$C$16,2,0),"")</f>
        <v/>
      </c>
      <c r="D6" s="6" t="n"/>
      <c r="E6" s="6" t="n"/>
      <c r="F6" s="5">
        <f>IFERROR(VLOOKUP(D6,Ойындар!$B$2:$C$14,2,0),"")</f>
        <v/>
      </c>
      <c r="G6" s="6" t="n"/>
      <c r="H6" s="6" t="n"/>
      <c r="I6" s="7" t="n"/>
      <c r="J6" s="6" t="n"/>
      <c r="K6" s="7" t="n"/>
    </row>
    <row r="7">
      <c r="A7" s="4" t="n">
        <v>6</v>
      </c>
      <c r="B7" s="6" t="n"/>
      <c r="C7" s="4">
        <f>IFERROR(VLOOKUP(B7,Шығармалар!$B$2:$C$16,2,0),"")</f>
        <v/>
      </c>
      <c r="D7" s="6" t="n"/>
      <c r="E7" s="6" t="n"/>
      <c r="F7" s="5">
        <f>IFERROR(VLOOKUP(D7,Ойындар!$B$2:$C$14,2,0),"")</f>
        <v/>
      </c>
      <c r="G7" s="6" t="n"/>
      <c r="H7" s="6" t="n"/>
      <c r="I7" s="7" t="n"/>
      <c r="J7" s="6" t="n"/>
      <c r="K7" s="7" t="n"/>
    </row>
    <row r="8">
      <c r="A8" s="4" t="n">
        <v>7</v>
      </c>
      <c r="B8" s="6" t="n"/>
      <c r="C8" s="4">
        <f>IFERROR(VLOOKUP(B8,Шығармалар!$B$2:$C$16,2,0),"")</f>
        <v/>
      </c>
      <c r="D8" s="6" t="n"/>
      <c r="E8" s="6" t="n"/>
      <c r="F8" s="5">
        <f>IFERROR(VLOOKUP(D8,Ойындар!$B$2:$C$14,2,0),"")</f>
        <v/>
      </c>
      <c r="G8" s="6" t="n"/>
      <c r="H8" s="6" t="n"/>
      <c r="I8" s="7" t="n"/>
      <c r="J8" s="6" t="n"/>
      <c r="K8" s="7" t="n"/>
    </row>
    <row r="9">
      <c r="A9" s="4" t="n">
        <v>8</v>
      </c>
      <c r="B9" s="6" t="n"/>
      <c r="C9" s="4">
        <f>IFERROR(VLOOKUP(B9,Шығармалар!$B$2:$C$16,2,0),"")</f>
        <v/>
      </c>
      <c r="D9" s="6" t="n"/>
      <c r="E9" s="6" t="n"/>
      <c r="F9" s="5">
        <f>IFERROR(VLOOKUP(D9,Ойындар!$B$2:$C$14,2,0),"")</f>
        <v/>
      </c>
      <c r="G9" s="6" t="n"/>
      <c r="H9" s="6" t="n"/>
      <c r="I9" s="7" t="n"/>
      <c r="J9" s="6" t="n"/>
      <c r="K9" s="7" t="n"/>
    </row>
    <row r="10">
      <c r="A10" s="4" t="n">
        <v>9</v>
      </c>
      <c r="B10" s="6" t="n"/>
      <c r="C10" s="4">
        <f>IFERROR(VLOOKUP(B10,Шығармалар!$B$2:$C$16,2,0),"")</f>
        <v/>
      </c>
      <c r="D10" s="6" t="n"/>
      <c r="E10" s="6" t="n"/>
      <c r="F10" s="5">
        <f>IFERROR(VLOOKUP(D10,Ойындар!$B$2:$C$14,2,0),"")</f>
        <v/>
      </c>
      <c r="G10" s="6" t="n"/>
      <c r="H10" s="6" t="n"/>
      <c r="I10" s="7" t="n"/>
      <c r="J10" s="6" t="n"/>
      <c r="K10" s="7" t="n"/>
    </row>
    <row r="11">
      <c r="A11" s="4" t="n">
        <v>10</v>
      </c>
      <c r="B11" s="6" t="n"/>
      <c r="C11" s="4">
        <f>IFERROR(VLOOKUP(B11,Шығармалар!$B$2:$C$16,2,0),"")</f>
        <v/>
      </c>
      <c r="D11" s="6" t="n"/>
      <c r="E11" s="6" t="n"/>
      <c r="F11" s="5">
        <f>IFERROR(VLOOKUP(D11,Ойындар!$B$2:$C$14,2,0),"")</f>
        <v/>
      </c>
      <c r="G11" s="6" t="n"/>
      <c r="H11" s="6" t="n"/>
      <c r="I11" s="7" t="n"/>
      <c r="J11" s="6" t="n"/>
      <c r="K11" s="7" t="n"/>
    </row>
    <row r="12">
      <c r="A12" s="4" t="n">
        <v>11</v>
      </c>
      <c r="B12" s="6" t="n"/>
      <c r="C12" s="4">
        <f>IFERROR(VLOOKUP(B12,Шығармалар!$B$2:$C$16,2,0),"")</f>
        <v/>
      </c>
      <c r="D12" s="6" t="n"/>
      <c r="E12" s="6" t="n"/>
      <c r="F12" s="5">
        <f>IFERROR(VLOOKUP(D12,Ойындар!$B$2:$C$14,2,0),"")</f>
        <v/>
      </c>
      <c r="G12" s="6" t="n"/>
      <c r="H12" s="6" t="n"/>
      <c r="I12" s="7" t="n"/>
      <c r="J12" s="6" t="n"/>
      <c r="K12" s="7" t="n"/>
    </row>
    <row r="13">
      <c r="A13" s="4" t="n">
        <v>12</v>
      </c>
      <c r="B13" s="6" t="n"/>
      <c r="C13" s="4">
        <f>IFERROR(VLOOKUP(B13,Шығармалар!$B$2:$C$16,2,0),"")</f>
        <v/>
      </c>
      <c r="D13" s="6" t="n"/>
      <c r="E13" s="6" t="n"/>
      <c r="F13" s="5">
        <f>IFERROR(VLOOKUP(D13,Ойындар!$B$2:$C$14,2,0),"")</f>
        <v/>
      </c>
      <c r="G13" s="6" t="n"/>
      <c r="H13" s="6" t="n"/>
      <c r="I13" s="7" t="n"/>
      <c r="J13" s="6" t="n"/>
      <c r="K13" s="7" t="n"/>
    </row>
    <row r="14">
      <c r="A14" s="4" t="n">
        <v>13</v>
      </c>
      <c r="B14" s="6" t="n"/>
      <c r="C14" s="4">
        <f>IFERROR(VLOOKUP(B14,Шығармалар!$B$2:$C$16,2,0),"")</f>
        <v/>
      </c>
      <c r="D14" s="6" t="n"/>
      <c r="E14" s="6" t="n"/>
      <c r="F14" s="5">
        <f>IFERROR(VLOOKUP(D14,Ойындар!$B$2:$C$14,2,0),"")</f>
        <v/>
      </c>
      <c r="G14" s="6" t="n"/>
      <c r="H14" s="6" t="n"/>
      <c r="I14" s="7" t="n"/>
      <c r="J14" s="6" t="n"/>
      <c r="K14" s="7" t="n"/>
    </row>
    <row r="15">
      <c r="A15" s="4" t="n">
        <v>14</v>
      </c>
      <c r="B15" s="6" t="n"/>
      <c r="C15" s="4">
        <f>IFERROR(VLOOKUP(B15,Шығармалар!$B$2:$C$16,2,0),"")</f>
        <v/>
      </c>
      <c r="D15" s="6" t="n"/>
      <c r="E15" s="6" t="n"/>
      <c r="F15" s="5">
        <f>IFERROR(VLOOKUP(D15,Ойындар!$B$2:$C$14,2,0),"")</f>
        <v/>
      </c>
      <c r="G15" s="6" t="n"/>
      <c r="H15" s="6" t="n"/>
      <c r="I15" s="7" t="n"/>
      <c r="J15" s="6" t="n"/>
      <c r="K15" s="7" t="n"/>
    </row>
    <row r="16">
      <c r="A16" s="4" t="n">
        <v>15</v>
      </c>
      <c r="B16" s="6" t="n"/>
      <c r="C16" s="4">
        <f>IFERROR(VLOOKUP(B16,Шығармалар!$B$2:$C$16,2,0),"")</f>
        <v/>
      </c>
      <c r="D16" s="6" t="n"/>
      <c r="E16" s="6" t="n"/>
      <c r="F16" s="5">
        <f>IFERROR(VLOOKUP(D16,Ойындар!$B$2:$C$14,2,0),"")</f>
        <v/>
      </c>
      <c r="G16" s="6" t="n"/>
      <c r="H16" s="6" t="n"/>
      <c r="I16" s="7" t="n"/>
      <c r="J16" s="6" t="n"/>
      <c r="K16" s="7" t="n"/>
    </row>
    <row r="17">
      <c r="A17" s="4" t="n">
        <v>16</v>
      </c>
      <c r="B17" s="6" t="n"/>
      <c r="C17" s="4">
        <f>IFERROR(VLOOKUP(B17,Шығармалар!$B$2:$C$16,2,0),"")</f>
        <v/>
      </c>
      <c r="D17" s="6" t="n"/>
      <c r="E17" s="6" t="n"/>
      <c r="F17" s="5">
        <f>IFERROR(VLOOKUP(D17,Ойындар!$B$2:$C$14,2,0),"")</f>
        <v/>
      </c>
      <c r="G17" s="6" t="n"/>
      <c r="H17" s="6" t="n"/>
      <c r="I17" s="7" t="n"/>
      <c r="J17" s="6" t="n"/>
      <c r="K17" s="7" t="n"/>
    </row>
    <row r="18">
      <c r="A18" s="4" t="n">
        <v>17</v>
      </c>
      <c r="B18" s="6" t="n"/>
      <c r="C18" s="4">
        <f>IFERROR(VLOOKUP(B18,Шығармалар!$B$2:$C$16,2,0),"")</f>
        <v/>
      </c>
      <c r="D18" s="6" t="n"/>
      <c r="E18" s="6" t="n"/>
      <c r="F18" s="5">
        <f>IFERROR(VLOOKUP(D18,Ойындар!$B$2:$C$14,2,0),"")</f>
        <v/>
      </c>
      <c r="G18" s="6" t="n"/>
      <c r="H18" s="6" t="n"/>
      <c r="I18" s="7" t="n"/>
      <c r="J18" s="6" t="n"/>
      <c r="K18" s="7" t="n"/>
    </row>
    <row r="19">
      <c r="A19" s="4" t="n">
        <v>18</v>
      </c>
      <c r="B19" s="6" t="n"/>
      <c r="C19" s="4">
        <f>IFERROR(VLOOKUP(B19,Шығармалар!$B$2:$C$16,2,0),"")</f>
        <v/>
      </c>
      <c r="D19" s="6" t="n"/>
      <c r="E19" s="6" t="n"/>
      <c r="F19" s="5">
        <f>IFERROR(VLOOKUP(D19,Ойындар!$B$2:$C$14,2,0),"")</f>
        <v/>
      </c>
      <c r="G19" s="6" t="n"/>
      <c r="H19" s="6" t="n"/>
      <c r="I19" s="7" t="n"/>
      <c r="J19" s="6" t="n"/>
      <c r="K19" s="7" t="n"/>
    </row>
    <row r="20">
      <c r="A20" s="4" t="n">
        <v>19</v>
      </c>
      <c r="B20" s="6" t="n"/>
      <c r="C20" s="4">
        <f>IFERROR(VLOOKUP(B20,Шығармалар!$B$2:$C$16,2,0),"")</f>
        <v/>
      </c>
      <c r="D20" s="6" t="n"/>
      <c r="E20" s="6" t="n"/>
      <c r="F20" s="5">
        <f>IFERROR(VLOOKUP(D20,Ойындар!$B$2:$C$14,2,0),"")</f>
        <v/>
      </c>
      <c r="G20" s="6" t="n"/>
      <c r="H20" s="6" t="n"/>
      <c r="I20" s="7" t="n"/>
      <c r="J20" s="6" t="n"/>
      <c r="K20" s="7" t="n"/>
    </row>
    <row r="21">
      <c r="A21" s="4" t="n">
        <v>20</v>
      </c>
      <c r="B21" s="6" t="n"/>
      <c r="C21" s="4">
        <f>IFERROR(VLOOKUP(B21,Шығармалар!$B$2:$C$16,2,0),"")</f>
        <v/>
      </c>
      <c r="D21" s="6" t="n"/>
      <c r="E21" s="6" t="n"/>
      <c r="F21" s="5">
        <f>IFERROR(VLOOKUP(D21,Ойындар!$B$2:$C$14,2,0),"")</f>
        <v/>
      </c>
      <c r="G21" s="6" t="n"/>
      <c r="H21" s="6" t="n"/>
      <c r="I21" s="7" t="n"/>
      <c r="J21" s="6" t="n"/>
      <c r="K21" s="7" t="n"/>
    </row>
    <row r="22">
      <c r="A22" s="4" t="n">
        <v>21</v>
      </c>
      <c r="B22" s="6" t="n"/>
      <c r="C22" s="4">
        <f>IFERROR(VLOOKUP(B22,Шығармалар!$B$2:$C$16,2,0),"")</f>
        <v/>
      </c>
      <c r="D22" s="6" t="n"/>
      <c r="E22" s="6" t="n"/>
      <c r="F22" s="5">
        <f>IFERROR(VLOOKUP(D22,Ойындар!$B$2:$C$14,2,0),"")</f>
        <v/>
      </c>
      <c r="G22" s="6" t="n"/>
      <c r="H22" s="6" t="n"/>
      <c r="I22" s="7" t="n"/>
      <c r="J22" s="6" t="n"/>
      <c r="K22" s="7" t="n"/>
    </row>
    <row r="23">
      <c r="A23" s="4" t="n">
        <v>22</v>
      </c>
      <c r="B23" s="6" t="n"/>
      <c r="C23" s="4">
        <f>IFERROR(VLOOKUP(B23,Шығармалар!$B$2:$C$16,2,0),"")</f>
        <v/>
      </c>
      <c r="D23" s="6" t="n"/>
      <c r="E23" s="6" t="n"/>
      <c r="F23" s="5">
        <f>IFERROR(VLOOKUP(D23,Ойындар!$B$2:$C$14,2,0),"")</f>
        <v/>
      </c>
      <c r="G23" s="6" t="n"/>
      <c r="H23" s="6" t="n"/>
      <c r="I23" s="7" t="n"/>
      <c r="J23" s="6" t="n"/>
      <c r="K23" s="7" t="n"/>
    </row>
    <row r="24">
      <c r="A24" s="4" t="n">
        <v>23</v>
      </c>
      <c r="B24" s="6" t="n"/>
      <c r="C24" s="4">
        <f>IFERROR(VLOOKUP(B24,Шығармалар!$B$2:$C$16,2,0),"")</f>
        <v/>
      </c>
      <c r="D24" s="6" t="n"/>
      <c r="E24" s="6" t="n"/>
      <c r="F24" s="5">
        <f>IFERROR(VLOOKUP(D24,Ойындар!$B$2:$C$14,2,0),"")</f>
        <v/>
      </c>
      <c r="G24" s="6" t="n"/>
      <c r="H24" s="6" t="n"/>
      <c r="I24" s="7" t="n"/>
      <c r="J24" s="6" t="n"/>
      <c r="K24" s="7" t="n"/>
    </row>
    <row r="25">
      <c r="A25" s="4" t="n">
        <v>24</v>
      </c>
      <c r="B25" s="6" t="n"/>
      <c r="C25" s="4">
        <f>IFERROR(VLOOKUP(B25,Шығармалар!$B$2:$C$16,2,0),"")</f>
        <v/>
      </c>
      <c r="D25" s="6" t="n"/>
      <c r="E25" s="6" t="n"/>
      <c r="F25" s="5">
        <f>IFERROR(VLOOKUP(D25,Ойындар!$B$2:$C$14,2,0),"")</f>
        <v/>
      </c>
      <c r="G25" s="6" t="n"/>
      <c r="H25" s="6" t="n"/>
      <c r="I25" s="7" t="n"/>
      <c r="J25" s="6" t="n"/>
      <c r="K25" s="7" t="n"/>
    </row>
    <row r="26">
      <c r="A26" s="4" t="n">
        <v>25</v>
      </c>
      <c r="B26" s="6" t="n"/>
      <c r="C26" s="4">
        <f>IFERROR(VLOOKUP(B26,Шығармалар!$B$2:$C$16,2,0),"")</f>
        <v/>
      </c>
      <c r="D26" s="6" t="n"/>
      <c r="E26" s="6" t="n"/>
      <c r="F26" s="5">
        <f>IFERROR(VLOOKUP(D26,Ойындар!$B$2:$C$14,2,0),"")</f>
        <v/>
      </c>
      <c r="G26" s="6" t="n"/>
      <c r="H26" s="6" t="n"/>
      <c r="I26" s="7" t="n"/>
      <c r="J26" s="6" t="n"/>
      <c r="K26" s="7" t="n"/>
    </row>
    <row r="27">
      <c r="A27" s="4" t="n">
        <v>26</v>
      </c>
      <c r="B27" s="6" t="n"/>
      <c r="C27" s="4">
        <f>IFERROR(VLOOKUP(B27,Шығармалар!$B$2:$C$16,2,0),"")</f>
        <v/>
      </c>
      <c r="D27" s="6" t="n"/>
      <c r="E27" s="6" t="n"/>
      <c r="F27" s="5">
        <f>IFERROR(VLOOKUP(D27,Ойындар!$B$2:$C$14,2,0),"")</f>
        <v/>
      </c>
      <c r="G27" s="6" t="n"/>
      <c r="H27" s="6" t="n"/>
      <c r="I27" s="7" t="n"/>
      <c r="J27" s="6" t="n"/>
      <c r="K27" s="7" t="n"/>
    </row>
    <row r="28">
      <c r="A28" s="4" t="n">
        <v>27</v>
      </c>
      <c r="B28" s="6" t="n"/>
      <c r="C28" s="4">
        <f>IFERROR(VLOOKUP(B28,Шығармалар!$B$2:$C$16,2,0),"")</f>
        <v/>
      </c>
      <c r="D28" s="6" t="n"/>
      <c r="E28" s="6" t="n"/>
      <c r="F28" s="5">
        <f>IFERROR(VLOOKUP(D28,Ойындар!$B$2:$C$14,2,0),"")</f>
        <v/>
      </c>
      <c r="G28" s="6" t="n"/>
      <c r="H28" s="6" t="n"/>
      <c r="I28" s="7" t="n"/>
      <c r="J28" s="6" t="n"/>
      <c r="K28" s="7" t="n"/>
    </row>
    <row r="29">
      <c r="A29" s="4" t="n">
        <v>28</v>
      </c>
      <c r="B29" s="6" t="n"/>
      <c r="C29" s="4">
        <f>IFERROR(VLOOKUP(B29,Шығармалар!$B$2:$C$16,2,0),"")</f>
        <v/>
      </c>
      <c r="D29" s="6" t="n"/>
      <c r="E29" s="6" t="n"/>
      <c r="F29" s="5">
        <f>IFERROR(VLOOKUP(D29,Ойындар!$B$2:$C$14,2,0),"")</f>
        <v/>
      </c>
      <c r="G29" s="6" t="n"/>
      <c r="H29" s="6" t="n"/>
      <c r="I29" s="7" t="n"/>
      <c r="J29" s="6" t="n"/>
      <c r="K29" s="7" t="n"/>
    </row>
    <row r="30">
      <c r="A30" s="4" t="n">
        <v>29</v>
      </c>
      <c r="B30" s="6" t="n"/>
      <c r="C30" s="4">
        <f>IFERROR(VLOOKUP(B30,Шығармалар!$B$2:$C$16,2,0),"")</f>
        <v/>
      </c>
      <c r="D30" s="6" t="n"/>
      <c r="E30" s="6" t="n"/>
      <c r="F30" s="5">
        <f>IFERROR(VLOOKUP(D30,Ойындар!$B$2:$C$14,2,0),"")</f>
        <v/>
      </c>
      <c r="G30" s="6" t="n"/>
      <c r="H30" s="6" t="n"/>
      <c r="I30" s="7" t="n"/>
      <c r="J30" s="6" t="n"/>
      <c r="K30" s="7" t="n"/>
    </row>
    <row r="31">
      <c r="A31" s="4" t="n">
        <v>30</v>
      </c>
      <c r="B31" s="6" t="n"/>
      <c r="C31" s="4">
        <f>IFERROR(VLOOKUP(B31,Шығармалар!$B$2:$C$16,2,0),"")</f>
        <v/>
      </c>
      <c r="D31" s="6" t="n"/>
      <c r="E31" s="6" t="n"/>
      <c r="F31" s="5">
        <f>IFERROR(VLOOKUP(D31,Ойындар!$B$2:$C$14,2,0),"")</f>
        <v/>
      </c>
      <c r="G31" s="6" t="n"/>
      <c r="H31" s="6" t="n"/>
      <c r="I31" s="7" t="n"/>
      <c r="J31" s="6" t="n"/>
      <c r="K31" s="7" t="n"/>
    </row>
    <row r="32">
      <c r="A32" s="4" t="n">
        <v>31</v>
      </c>
      <c r="B32" s="6" t="n"/>
      <c r="C32" s="4">
        <f>IFERROR(VLOOKUP(B32,Шығармалар!$B$2:$C$16,2,0),"")</f>
        <v/>
      </c>
      <c r="D32" s="6" t="n"/>
      <c r="E32" s="6" t="n"/>
      <c r="F32" s="5">
        <f>IFERROR(VLOOKUP(D32,Ойындар!$B$2:$C$14,2,0),"")</f>
        <v/>
      </c>
      <c r="G32" s="6" t="n"/>
      <c r="H32" s="6" t="n"/>
      <c r="I32" s="7" t="n"/>
      <c r="J32" s="6" t="n"/>
      <c r="K32" s="7" t="n"/>
    </row>
    <row r="33">
      <c r="A33" s="4" t="n">
        <v>32</v>
      </c>
      <c r="B33" s="6" t="n"/>
      <c r="C33" s="4">
        <f>IFERROR(VLOOKUP(B33,Шығармалар!$B$2:$C$16,2,0),"")</f>
        <v/>
      </c>
      <c r="D33" s="6" t="n"/>
      <c r="E33" s="6" t="n"/>
      <c r="F33" s="5">
        <f>IFERROR(VLOOKUP(D33,Ойындар!$B$2:$C$14,2,0),"")</f>
        <v/>
      </c>
      <c r="G33" s="6" t="n"/>
      <c r="H33" s="6" t="n"/>
      <c r="I33" s="7" t="n"/>
      <c r="J33" s="6" t="n"/>
      <c r="K33" s="7" t="n"/>
    </row>
    <row r="34">
      <c r="A34" s="4" t="n">
        <v>33</v>
      </c>
      <c r="B34" s="6" t="n"/>
      <c r="C34" s="4">
        <f>IFERROR(VLOOKUP(B34,Шығармалар!$B$2:$C$16,2,0),"")</f>
        <v/>
      </c>
      <c r="D34" s="6" t="n"/>
      <c r="E34" s="6" t="n"/>
      <c r="F34" s="5">
        <f>IFERROR(VLOOKUP(D34,Ойындар!$B$2:$C$14,2,0),"")</f>
        <v/>
      </c>
      <c r="G34" s="6" t="n"/>
      <c r="H34" s="6" t="n"/>
      <c r="I34" s="7" t="n"/>
      <c r="J34" s="6" t="n"/>
      <c r="K34" s="7" t="n"/>
    </row>
    <row r="35">
      <c r="A35" s="4" t="n">
        <v>34</v>
      </c>
      <c r="B35" s="6" t="n"/>
      <c r="C35" s="4">
        <f>IFERROR(VLOOKUP(B35,Шығармалар!$B$2:$C$16,2,0),"")</f>
        <v/>
      </c>
      <c r="D35" s="6" t="n"/>
      <c r="E35" s="6" t="n"/>
      <c r="F35" s="5">
        <f>IFERROR(VLOOKUP(D35,Ойындар!$B$2:$C$14,2,0),"")</f>
        <v/>
      </c>
      <c r="G35" s="6" t="n"/>
      <c r="H35" s="6" t="n"/>
      <c r="I35" s="7" t="n"/>
      <c r="J35" s="6" t="n"/>
      <c r="K35" s="7" t="n"/>
    </row>
    <row r="36">
      <c r="A36" s="4" t="n">
        <v>35</v>
      </c>
      <c r="B36" s="6" t="n"/>
      <c r="C36" s="4">
        <f>IFERROR(VLOOKUP(B36,Шығармалар!$B$2:$C$16,2,0),"")</f>
        <v/>
      </c>
      <c r="D36" s="6" t="n"/>
      <c r="E36" s="6" t="n"/>
      <c r="F36" s="5">
        <f>IFERROR(VLOOKUP(D36,Ойындар!$B$2:$C$14,2,0),"")</f>
        <v/>
      </c>
      <c r="G36" s="6" t="n"/>
      <c r="H36" s="6" t="n"/>
      <c r="I36" s="7" t="n"/>
      <c r="J36" s="6" t="n"/>
      <c r="K36" s="7" t="n"/>
    </row>
    <row r="37">
      <c r="A37" s="4" t="n">
        <v>36</v>
      </c>
      <c r="B37" s="6" t="n"/>
      <c r="C37" s="4">
        <f>IFERROR(VLOOKUP(B37,Шығармалар!$B$2:$C$16,2,0),"")</f>
        <v/>
      </c>
      <c r="D37" s="6" t="n"/>
      <c r="E37" s="6" t="n"/>
      <c r="F37" s="5">
        <f>IFERROR(VLOOKUP(D37,Ойындар!$B$2:$C$14,2,0),"")</f>
        <v/>
      </c>
      <c r="G37" s="6" t="n"/>
      <c r="H37" s="6" t="n"/>
      <c r="I37" s="7" t="n"/>
      <c r="J37" s="6" t="n"/>
      <c r="K37" s="7" t="n"/>
    </row>
    <row r="38">
      <c r="A38" s="4" t="n">
        <v>37</v>
      </c>
      <c r="B38" s="6" t="n"/>
      <c r="C38" s="4">
        <f>IFERROR(VLOOKUP(B38,Шығармалар!$B$2:$C$16,2,0),"")</f>
        <v/>
      </c>
      <c r="D38" s="6" t="n"/>
      <c r="E38" s="6" t="n"/>
      <c r="F38" s="5">
        <f>IFERROR(VLOOKUP(D38,Ойындар!$B$2:$C$14,2,0),"")</f>
        <v/>
      </c>
      <c r="G38" s="6" t="n"/>
      <c r="H38" s="6" t="n"/>
      <c r="I38" s="7" t="n"/>
      <c r="J38" s="6" t="n"/>
      <c r="K38" s="7" t="n"/>
    </row>
    <row r="39">
      <c r="A39" s="4" t="n">
        <v>38</v>
      </c>
      <c r="B39" s="6" t="n"/>
      <c r="C39" s="4">
        <f>IFERROR(VLOOKUP(B39,Шығармалар!$B$2:$C$16,2,0),"")</f>
        <v/>
      </c>
      <c r="D39" s="6" t="n"/>
      <c r="E39" s="6" t="n"/>
      <c r="F39" s="5">
        <f>IFERROR(VLOOKUP(D39,Ойындар!$B$2:$C$14,2,0),"")</f>
        <v/>
      </c>
      <c r="G39" s="6" t="n"/>
      <c r="H39" s="6" t="n"/>
      <c r="I39" s="7" t="n"/>
      <c r="J39" s="6" t="n"/>
      <c r="K39" s="7" t="n"/>
    </row>
    <row r="40">
      <c r="A40" s="4" t="n">
        <v>39</v>
      </c>
      <c r="B40" s="6" t="n"/>
      <c r="C40" s="4">
        <f>IFERROR(VLOOKUP(B40,Шығармалар!$B$2:$C$16,2,0),"")</f>
        <v/>
      </c>
      <c r="D40" s="6" t="n"/>
      <c r="E40" s="6" t="n"/>
      <c r="F40" s="5">
        <f>IFERROR(VLOOKUP(D40,Ойындар!$B$2:$C$14,2,0),"")</f>
        <v/>
      </c>
      <c r="G40" s="6" t="n"/>
      <c r="H40" s="6" t="n"/>
      <c r="I40" s="7" t="n"/>
      <c r="J40" s="6" t="n"/>
      <c r="K40" s="7" t="n"/>
    </row>
    <row r="41">
      <c r="A41" s="4" t="n">
        <v>40</v>
      </c>
      <c r="B41" s="6" t="n"/>
      <c r="C41" s="4">
        <f>IFERROR(VLOOKUP(B41,Шығармалар!$B$2:$C$16,2,0),"")</f>
        <v/>
      </c>
      <c r="D41" s="6" t="n"/>
      <c r="E41" s="6" t="n"/>
      <c r="F41" s="5">
        <f>IFERROR(VLOOKUP(D41,Ойындар!$B$2:$C$14,2,0),"")</f>
        <v/>
      </c>
      <c r="G41" s="6" t="n"/>
      <c r="H41" s="6" t="n"/>
      <c r="I41" s="7" t="n"/>
      <c r="J41" s="6" t="n"/>
      <c r="K41" s="7" t="n"/>
    </row>
    <row r="42">
      <c r="A42" s="4" t="n">
        <v>41</v>
      </c>
      <c r="B42" s="6" t="n"/>
      <c r="C42" s="4">
        <f>IFERROR(VLOOKUP(B42,Шығармалар!$B$2:$C$16,2,0),"")</f>
        <v/>
      </c>
      <c r="D42" s="6" t="n"/>
      <c r="E42" s="6" t="n"/>
      <c r="F42" s="5">
        <f>IFERROR(VLOOKUP(D42,Ойындар!$B$2:$C$14,2,0),"")</f>
        <v/>
      </c>
      <c r="G42" s="6" t="n"/>
      <c r="H42" s="6" t="n"/>
      <c r="I42" s="7" t="n"/>
      <c r="J42" s="6" t="n"/>
      <c r="K42" s="7" t="n"/>
    </row>
    <row r="43">
      <c r="A43" s="4" t="n">
        <v>42</v>
      </c>
      <c r="B43" s="6" t="n"/>
      <c r="C43" s="4">
        <f>IFERROR(VLOOKUP(B43,Шығармалар!$B$2:$C$16,2,0),"")</f>
        <v/>
      </c>
      <c r="D43" s="6" t="n"/>
      <c r="E43" s="6" t="n"/>
      <c r="F43" s="5">
        <f>IFERROR(VLOOKUP(D43,Ойындар!$B$2:$C$14,2,0),"")</f>
        <v/>
      </c>
      <c r="G43" s="6" t="n"/>
      <c r="H43" s="6" t="n"/>
      <c r="I43" s="7" t="n"/>
      <c r="J43" s="6" t="n"/>
      <c r="K43" s="7" t="n"/>
    </row>
    <row r="44">
      <c r="A44" s="4" t="n">
        <v>43</v>
      </c>
      <c r="B44" s="6" t="n"/>
      <c r="C44" s="4">
        <f>IFERROR(VLOOKUP(B44,Шығармалар!$B$2:$C$16,2,0),"")</f>
        <v/>
      </c>
      <c r="D44" s="6" t="n"/>
      <c r="E44" s="6" t="n"/>
      <c r="F44" s="5">
        <f>IFERROR(VLOOKUP(D44,Ойындар!$B$2:$C$14,2,0),"")</f>
        <v/>
      </c>
      <c r="G44" s="6" t="n"/>
      <c r="H44" s="6" t="n"/>
      <c r="I44" s="7" t="n"/>
      <c r="J44" s="6" t="n"/>
      <c r="K44" s="7" t="n"/>
    </row>
    <row r="45">
      <c r="A45" s="4" t="n">
        <v>44</v>
      </c>
      <c r="B45" s="6" t="n"/>
      <c r="C45" s="4">
        <f>IFERROR(VLOOKUP(B45,Шығармалар!$B$2:$C$16,2,0),"")</f>
        <v/>
      </c>
      <c r="D45" s="6" t="n"/>
      <c r="E45" s="6" t="n"/>
      <c r="F45" s="5">
        <f>IFERROR(VLOOKUP(D45,Ойындар!$B$2:$C$14,2,0),"")</f>
        <v/>
      </c>
      <c r="G45" s="6" t="n"/>
      <c r="H45" s="6" t="n"/>
      <c r="I45" s="7" t="n"/>
      <c r="J45" s="6" t="n"/>
      <c r="K45" s="7" t="n"/>
    </row>
    <row r="46">
      <c r="A46" s="4" t="n">
        <v>45</v>
      </c>
      <c r="B46" s="6" t="n"/>
      <c r="C46" s="4">
        <f>IFERROR(VLOOKUP(B46,Шығармалар!$B$2:$C$16,2,0),"")</f>
        <v/>
      </c>
      <c r="D46" s="6" t="n"/>
      <c r="E46" s="6" t="n"/>
      <c r="F46" s="5">
        <f>IFERROR(VLOOKUP(D46,Ойындар!$B$2:$C$14,2,0),"")</f>
        <v/>
      </c>
      <c r="G46" s="6" t="n"/>
      <c r="H46" s="6" t="n"/>
      <c r="I46" s="7" t="n"/>
      <c r="J46" s="6" t="n"/>
      <c r="K46" s="7" t="n"/>
    </row>
    <row r="47">
      <c r="A47" s="4" t="n">
        <v>46</v>
      </c>
      <c r="B47" s="6" t="n"/>
      <c r="C47" s="4">
        <f>IFERROR(VLOOKUP(B47,Шығармалар!$B$2:$C$16,2,0),"")</f>
        <v/>
      </c>
      <c r="D47" s="6" t="n"/>
      <c r="E47" s="6" t="n"/>
      <c r="F47" s="5">
        <f>IFERROR(VLOOKUP(D47,Ойындар!$B$2:$C$14,2,0),"")</f>
        <v/>
      </c>
      <c r="G47" s="6" t="n"/>
      <c r="H47" s="6" t="n"/>
      <c r="I47" s="7" t="n"/>
      <c r="J47" s="6" t="n"/>
      <c r="K47" s="7" t="n"/>
    </row>
    <row r="48">
      <c r="A48" s="4" t="n">
        <v>47</v>
      </c>
      <c r="B48" s="6" t="n"/>
      <c r="C48" s="4">
        <f>IFERROR(VLOOKUP(B48,Шығармалар!$B$2:$C$16,2,0),"")</f>
        <v/>
      </c>
      <c r="D48" s="6" t="n"/>
      <c r="E48" s="6" t="n"/>
      <c r="F48" s="5">
        <f>IFERROR(VLOOKUP(D48,Ойындар!$B$2:$C$14,2,0),"")</f>
        <v/>
      </c>
      <c r="G48" s="6" t="n"/>
      <c r="H48" s="6" t="n"/>
      <c r="I48" s="7" t="n"/>
      <c r="J48" s="6" t="n"/>
      <c r="K48" s="7" t="n"/>
    </row>
    <row r="49">
      <c r="A49" s="4" t="n">
        <v>48</v>
      </c>
      <c r="B49" s="6" t="n"/>
      <c r="C49" s="4">
        <f>IFERROR(VLOOKUP(B49,Шығармалар!$B$2:$C$16,2,0),"")</f>
        <v/>
      </c>
      <c r="D49" s="6" t="n"/>
      <c r="E49" s="6" t="n"/>
      <c r="F49" s="5">
        <f>IFERROR(VLOOKUP(D49,Ойындар!$B$2:$C$14,2,0),"")</f>
        <v/>
      </c>
      <c r="G49" s="6" t="n"/>
      <c r="H49" s="6" t="n"/>
      <c r="I49" s="7" t="n"/>
      <c r="J49" s="6" t="n"/>
      <c r="K49" s="7" t="n"/>
    </row>
    <row r="50">
      <c r="A50" s="4" t="n">
        <v>49</v>
      </c>
      <c r="B50" s="6" t="n"/>
      <c r="C50" s="4">
        <f>IFERROR(VLOOKUP(B50,Шығармалар!$B$2:$C$16,2,0),"")</f>
        <v/>
      </c>
      <c r="D50" s="6" t="n"/>
      <c r="E50" s="6" t="n"/>
      <c r="F50" s="5">
        <f>IFERROR(VLOOKUP(D50,Ойындар!$B$2:$C$14,2,0),"")</f>
        <v/>
      </c>
      <c r="G50" s="6" t="n"/>
      <c r="H50" s="6" t="n"/>
      <c r="I50" s="7" t="n"/>
      <c r="J50" s="6" t="n"/>
      <c r="K50" s="7" t="n"/>
    </row>
    <row r="51">
      <c r="A51" s="4" t="n">
        <v>50</v>
      </c>
      <c r="B51" s="6" t="n"/>
      <c r="C51" s="4">
        <f>IFERROR(VLOOKUP(B51,Шығармалар!$B$2:$C$16,2,0),"")</f>
        <v/>
      </c>
      <c r="D51" s="6" t="n"/>
      <c r="E51" s="6" t="n"/>
      <c r="F51" s="5">
        <f>IFERROR(VLOOKUP(D51,Ойындар!$B$2:$C$14,2,0),"")</f>
        <v/>
      </c>
      <c r="G51" s="6" t="n"/>
      <c r="H51" s="6" t="n"/>
      <c r="I51" s="7" t="n"/>
      <c r="J51" s="6" t="n"/>
      <c r="K51" s="7" t="n"/>
    </row>
    <row r="52">
      <c r="A52" s="4" t="n">
        <v>51</v>
      </c>
      <c r="B52" s="6" t="n"/>
      <c r="C52" s="4">
        <f>IFERROR(VLOOKUP(B52,Шығармалар!$B$2:$C$16,2,0),"")</f>
        <v/>
      </c>
      <c r="D52" s="6" t="n"/>
      <c r="E52" s="6" t="n"/>
      <c r="F52" s="5">
        <f>IFERROR(VLOOKUP(D52,Ойындар!$B$2:$C$14,2,0),"")</f>
        <v/>
      </c>
      <c r="G52" s="6" t="n"/>
      <c r="H52" s="6" t="n"/>
      <c r="I52" s="7" t="n"/>
      <c r="J52" s="6" t="n"/>
      <c r="K52" s="7" t="n"/>
    </row>
    <row r="53">
      <c r="A53" s="4" t="n">
        <v>52</v>
      </c>
      <c r="B53" s="6" t="n"/>
      <c r="C53" s="4">
        <f>IFERROR(VLOOKUP(B53,Шығармалар!$B$2:$C$16,2,0),"")</f>
        <v/>
      </c>
      <c r="D53" s="6" t="n"/>
      <c r="E53" s="6" t="n"/>
      <c r="F53" s="5">
        <f>IFERROR(VLOOKUP(D53,Ойындар!$B$2:$C$14,2,0),"")</f>
        <v/>
      </c>
      <c r="G53" s="6" t="n"/>
      <c r="H53" s="6" t="n"/>
      <c r="I53" s="7" t="n"/>
      <c r="J53" s="6" t="n"/>
      <c r="K53" s="7" t="n"/>
    </row>
    <row r="54">
      <c r="A54" s="4" t="n">
        <v>53</v>
      </c>
      <c r="B54" s="6" t="n"/>
      <c r="C54" s="4">
        <f>IFERROR(VLOOKUP(B54,Шығармалар!$B$2:$C$16,2,0),"")</f>
        <v/>
      </c>
      <c r="D54" s="6" t="n"/>
      <c r="E54" s="6" t="n"/>
      <c r="F54" s="5">
        <f>IFERROR(VLOOKUP(D54,Ойындар!$B$2:$C$14,2,0),"")</f>
        <v/>
      </c>
      <c r="G54" s="6" t="n"/>
      <c r="H54" s="6" t="n"/>
      <c r="I54" s="7" t="n"/>
      <c r="J54" s="6" t="n"/>
      <c r="K54" s="7" t="n"/>
    </row>
    <row r="55">
      <c r="A55" s="4" t="n">
        <v>54</v>
      </c>
      <c r="B55" s="6" t="n"/>
      <c r="C55" s="4">
        <f>IFERROR(VLOOKUP(B55,Шығармалар!$B$2:$C$16,2,0),"")</f>
        <v/>
      </c>
      <c r="D55" s="6" t="n"/>
      <c r="E55" s="6" t="n"/>
      <c r="F55" s="5">
        <f>IFERROR(VLOOKUP(D55,Ойындар!$B$2:$C$14,2,0),"")</f>
        <v/>
      </c>
      <c r="G55" s="6" t="n"/>
      <c r="H55" s="6" t="n"/>
      <c r="I55" s="7" t="n"/>
      <c r="J55" s="6" t="n"/>
      <c r="K55" s="7" t="n"/>
    </row>
    <row r="56">
      <c r="A56" s="4" t="n">
        <v>55</v>
      </c>
      <c r="B56" s="6" t="n"/>
      <c r="C56" s="4">
        <f>IFERROR(VLOOKUP(B56,Шығармалар!$B$2:$C$16,2,0),"")</f>
        <v/>
      </c>
      <c r="D56" s="6" t="n"/>
      <c r="E56" s="6" t="n"/>
      <c r="F56" s="5">
        <f>IFERROR(VLOOKUP(D56,Ойындар!$B$2:$C$14,2,0),"")</f>
        <v/>
      </c>
      <c r="G56" s="6" t="n"/>
      <c r="H56" s="6" t="n"/>
      <c r="I56" s="7" t="n"/>
      <c r="J56" s="6" t="n"/>
      <c r="K56" s="7" t="n"/>
    </row>
    <row r="57">
      <c r="A57" s="4" t="n">
        <v>56</v>
      </c>
      <c r="B57" s="6" t="n"/>
      <c r="C57" s="4">
        <f>IFERROR(VLOOKUP(B57,Шығармалар!$B$2:$C$16,2,0),"")</f>
        <v/>
      </c>
      <c r="D57" s="6" t="n"/>
      <c r="E57" s="6" t="n"/>
      <c r="F57" s="5">
        <f>IFERROR(VLOOKUP(D57,Ойындар!$B$2:$C$14,2,0),"")</f>
        <v/>
      </c>
      <c r="G57" s="6" t="n"/>
      <c r="H57" s="6" t="n"/>
      <c r="I57" s="7" t="n"/>
      <c r="J57" s="6" t="n"/>
      <c r="K57" s="7" t="n"/>
    </row>
    <row r="58">
      <c r="A58" s="4" t="n">
        <v>57</v>
      </c>
      <c r="B58" s="6" t="n"/>
      <c r="C58" s="4">
        <f>IFERROR(VLOOKUP(B58,Шығармалар!$B$2:$C$16,2,0),"")</f>
        <v/>
      </c>
      <c r="D58" s="6" t="n"/>
      <c r="E58" s="6" t="n"/>
      <c r="F58" s="5">
        <f>IFERROR(VLOOKUP(D58,Ойындар!$B$2:$C$14,2,0),"")</f>
        <v/>
      </c>
      <c r="G58" s="6" t="n"/>
      <c r="H58" s="6" t="n"/>
      <c r="I58" s="7" t="n"/>
      <c r="J58" s="6" t="n"/>
      <c r="K58" s="7" t="n"/>
    </row>
    <row r="59">
      <c r="A59" s="4" t="n">
        <v>58</v>
      </c>
      <c r="B59" s="6" t="n"/>
      <c r="C59" s="4">
        <f>IFERROR(VLOOKUP(B59,Шығармалар!$B$2:$C$16,2,0),"")</f>
        <v/>
      </c>
      <c r="D59" s="6" t="n"/>
      <c r="E59" s="6" t="n"/>
      <c r="F59" s="5">
        <f>IFERROR(VLOOKUP(D59,Ойындар!$B$2:$C$14,2,0),"")</f>
        <v/>
      </c>
      <c r="G59" s="6" t="n"/>
      <c r="H59" s="6" t="n"/>
      <c r="I59" s="7" t="n"/>
      <c r="J59" s="6" t="n"/>
      <c r="K59" s="7" t="n"/>
    </row>
    <row r="60">
      <c r="A60" s="4" t="n">
        <v>59</v>
      </c>
      <c r="B60" s="6" t="n"/>
      <c r="C60" s="4">
        <f>IFERROR(VLOOKUP(B60,Шығармалар!$B$2:$C$16,2,0),"")</f>
        <v/>
      </c>
      <c r="D60" s="6" t="n"/>
      <c r="E60" s="6" t="n"/>
      <c r="F60" s="5">
        <f>IFERROR(VLOOKUP(D60,Ойындар!$B$2:$C$14,2,0),"")</f>
        <v/>
      </c>
      <c r="G60" s="6" t="n"/>
      <c r="H60" s="6" t="n"/>
      <c r="I60" s="7" t="n"/>
      <c r="J60" s="6" t="n"/>
      <c r="K60" s="7" t="n"/>
    </row>
    <row r="61">
      <c r="A61" s="4" t="n">
        <v>60</v>
      </c>
      <c r="B61" s="6" t="n"/>
      <c r="C61" s="4">
        <f>IFERROR(VLOOKUP(B61,Шығармалар!$B$2:$C$16,2,0),"")</f>
        <v/>
      </c>
      <c r="D61" s="6" t="n"/>
      <c r="E61" s="6" t="n"/>
      <c r="F61" s="5">
        <f>IFERROR(VLOOKUP(D61,Ойындар!$B$2:$C$14,2,0),"")</f>
        <v/>
      </c>
      <c r="G61" s="6" t="n"/>
      <c r="H61" s="6" t="n"/>
      <c r="I61" s="7" t="n"/>
      <c r="J61" s="6" t="n"/>
      <c r="K61" s="7" t="n"/>
    </row>
    <row r="62">
      <c r="A62" s="4" t="n">
        <v>61</v>
      </c>
      <c r="B62" s="6" t="n"/>
      <c r="C62" s="4">
        <f>IFERROR(VLOOKUP(B62,Шығармалар!$B$2:$C$16,2,0),"")</f>
        <v/>
      </c>
      <c r="D62" s="6" t="n"/>
      <c r="E62" s="6" t="n"/>
      <c r="F62" s="5">
        <f>IFERROR(VLOOKUP(D62,Ойындар!$B$2:$C$14,2,0),"")</f>
        <v/>
      </c>
      <c r="G62" s="6" t="n"/>
      <c r="H62" s="6" t="n"/>
      <c r="I62" s="7" t="n"/>
      <c r="J62" s="6" t="n"/>
      <c r="K62" s="7" t="n"/>
    </row>
    <row r="63">
      <c r="A63" s="4" t="n">
        <v>62</v>
      </c>
      <c r="B63" s="6" t="n"/>
      <c r="C63" s="4">
        <f>IFERROR(VLOOKUP(B63,Шығармалар!$B$2:$C$16,2,0),"")</f>
        <v/>
      </c>
      <c r="D63" s="6" t="n"/>
      <c r="E63" s="6" t="n"/>
      <c r="F63" s="5">
        <f>IFERROR(VLOOKUP(D63,Ойындар!$B$2:$C$14,2,0),"")</f>
        <v/>
      </c>
      <c r="G63" s="6" t="n"/>
      <c r="H63" s="6" t="n"/>
      <c r="I63" s="7" t="n"/>
      <c r="J63" s="6" t="n"/>
      <c r="K63" s="7" t="n"/>
    </row>
    <row r="64">
      <c r="A64" s="4" t="n">
        <v>63</v>
      </c>
      <c r="B64" s="6" t="n"/>
      <c r="C64" s="4">
        <f>IFERROR(VLOOKUP(B64,Шығармалар!$B$2:$C$16,2,0),"")</f>
        <v/>
      </c>
      <c r="D64" s="6" t="n"/>
      <c r="E64" s="6" t="n"/>
      <c r="F64" s="5">
        <f>IFERROR(VLOOKUP(D64,Ойындар!$B$2:$C$14,2,0),"")</f>
        <v/>
      </c>
      <c r="G64" s="6" t="n"/>
      <c r="H64" s="6" t="n"/>
      <c r="I64" s="7" t="n"/>
      <c r="J64" s="6" t="n"/>
      <c r="K64" s="7" t="n"/>
    </row>
    <row r="65">
      <c r="A65" s="4" t="n">
        <v>64</v>
      </c>
      <c r="B65" s="6" t="n"/>
      <c r="C65" s="4">
        <f>IFERROR(VLOOKUP(B65,Шығармалар!$B$2:$C$16,2,0),"")</f>
        <v/>
      </c>
      <c r="D65" s="6" t="n"/>
      <c r="E65" s="6" t="n"/>
      <c r="F65" s="5">
        <f>IFERROR(VLOOKUP(D65,Ойындар!$B$2:$C$14,2,0),"")</f>
        <v/>
      </c>
      <c r="G65" s="6" t="n"/>
      <c r="H65" s="6" t="n"/>
      <c r="I65" s="7" t="n"/>
      <c r="J65" s="6" t="n"/>
      <c r="K65" s="7" t="n"/>
    </row>
    <row r="66">
      <c r="A66" s="4" t="n">
        <v>65</v>
      </c>
      <c r="B66" s="6" t="n"/>
      <c r="C66" s="4">
        <f>IFERROR(VLOOKUP(B66,Шығармалар!$B$2:$C$16,2,0),"")</f>
        <v/>
      </c>
      <c r="D66" s="6" t="n"/>
      <c r="E66" s="6" t="n"/>
      <c r="F66" s="5">
        <f>IFERROR(VLOOKUP(D66,Ойындар!$B$2:$C$14,2,0),"")</f>
        <v/>
      </c>
      <c r="G66" s="6" t="n"/>
      <c r="H66" s="6" t="n"/>
      <c r="I66" s="7" t="n"/>
      <c r="J66" s="6" t="n"/>
      <c r="K66" s="7" t="n"/>
    </row>
    <row r="67">
      <c r="A67" s="4" t="n">
        <v>66</v>
      </c>
      <c r="B67" s="6" t="n"/>
      <c r="C67" s="4">
        <f>IFERROR(VLOOKUP(B67,Шығармалар!$B$2:$C$16,2,0),"")</f>
        <v/>
      </c>
      <c r="D67" s="6" t="n"/>
      <c r="E67" s="6" t="n"/>
      <c r="F67" s="5">
        <f>IFERROR(VLOOKUP(D67,Ойындар!$B$2:$C$14,2,0),"")</f>
        <v/>
      </c>
      <c r="G67" s="6" t="n"/>
      <c r="H67" s="6" t="n"/>
      <c r="I67" s="7" t="n"/>
      <c r="J67" s="6" t="n"/>
      <c r="K67" s="7" t="n"/>
    </row>
    <row r="68">
      <c r="A68" s="4" t="n">
        <v>67</v>
      </c>
      <c r="B68" s="6" t="n"/>
      <c r="C68" s="4">
        <f>IFERROR(VLOOKUP(B68,Шығармалар!$B$2:$C$16,2,0),"")</f>
        <v/>
      </c>
      <c r="D68" s="6" t="n"/>
      <c r="E68" s="6" t="n"/>
      <c r="F68" s="5">
        <f>IFERROR(VLOOKUP(D68,Ойындар!$B$2:$C$14,2,0),"")</f>
        <v/>
      </c>
      <c r="G68" s="6" t="n"/>
      <c r="H68" s="6" t="n"/>
      <c r="I68" s="7" t="n"/>
      <c r="J68" s="6" t="n"/>
      <c r="K68" s="7" t="n"/>
    </row>
    <row r="69">
      <c r="A69" s="4" t="n">
        <v>68</v>
      </c>
      <c r="B69" s="6" t="n"/>
      <c r="C69" s="4">
        <f>IFERROR(VLOOKUP(B69,Шығармалар!$B$2:$C$16,2,0),"")</f>
        <v/>
      </c>
      <c r="D69" s="6" t="n"/>
      <c r="E69" s="6" t="n"/>
      <c r="F69" s="5">
        <f>IFERROR(VLOOKUP(D69,Ойындар!$B$2:$C$14,2,0),"")</f>
        <v/>
      </c>
      <c r="G69" s="6" t="n"/>
      <c r="H69" s="6" t="n"/>
      <c r="I69" s="7" t="n"/>
      <c r="J69" s="6" t="n"/>
      <c r="K69" s="7" t="n"/>
    </row>
    <row r="70">
      <c r="A70" s="4" t="n">
        <v>69</v>
      </c>
      <c r="B70" s="6" t="n"/>
      <c r="C70" s="4">
        <f>IFERROR(VLOOKUP(B70,Шығармалар!$B$2:$C$16,2,0),"")</f>
        <v/>
      </c>
      <c r="D70" s="6" t="n"/>
      <c r="E70" s="6" t="n"/>
      <c r="F70" s="5">
        <f>IFERROR(VLOOKUP(D70,Ойындар!$B$2:$C$14,2,0),"")</f>
        <v/>
      </c>
      <c r="G70" s="6" t="n"/>
      <c r="H70" s="6" t="n"/>
      <c r="I70" s="7" t="n"/>
      <c r="J70" s="6" t="n"/>
      <c r="K70" s="7" t="n"/>
    </row>
    <row r="71">
      <c r="A71" s="4" t="n">
        <v>70</v>
      </c>
      <c r="B71" s="6" t="n"/>
      <c r="C71" s="4">
        <f>IFERROR(VLOOKUP(B71,Шығармалар!$B$2:$C$16,2,0),"")</f>
        <v/>
      </c>
      <c r="D71" s="6" t="n"/>
      <c r="E71" s="6" t="n"/>
      <c r="F71" s="5">
        <f>IFERROR(VLOOKUP(D71,Ойындар!$B$2:$C$14,2,0),"")</f>
        <v/>
      </c>
      <c r="G71" s="6" t="n"/>
      <c r="H71" s="6" t="n"/>
      <c r="I71" s="7" t="n"/>
      <c r="J71" s="6" t="n"/>
      <c r="K71" s="7" t="n"/>
    </row>
    <row r="72">
      <c r="A72" s="4" t="n">
        <v>71</v>
      </c>
      <c r="B72" s="6" t="n"/>
      <c r="C72" s="4">
        <f>IFERROR(VLOOKUP(B72,Шығармалар!$B$2:$C$16,2,0),"")</f>
        <v/>
      </c>
      <c r="D72" s="6" t="n"/>
      <c r="E72" s="6" t="n"/>
      <c r="F72" s="5">
        <f>IFERROR(VLOOKUP(D72,Ойындар!$B$2:$C$14,2,0),"")</f>
        <v/>
      </c>
      <c r="G72" s="6" t="n"/>
      <c r="H72" s="6" t="n"/>
      <c r="I72" s="7" t="n"/>
      <c r="J72" s="6" t="n"/>
      <c r="K72" s="7" t="n"/>
    </row>
    <row r="73">
      <c r="A73" s="4" t="n">
        <v>72</v>
      </c>
      <c r="B73" s="6" t="n"/>
      <c r="C73" s="4">
        <f>IFERROR(VLOOKUP(B73,Шығармалар!$B$2:$C$16,2,0),"")</f>
        <v/>
      </c>
      <c r="D73" s="6" t="n"/>
      <c r="E73" s="6" t="n"/>
      <c r="F73" s="5">
        <f>IFERROR(VLOOKUP(D73,Ойындар!$B$2:$C$14,2,0),"")</f>
        <v/>
      </c>
      <c r="G73" s="6" t="n"/>
      <c r="H73" s="6" t="n"/>
      <c r="I73" s="7" t="n"/>
      <c r="J73" s="6" t="n"/>
      <c r="K73" s="7" t="n"/>
    </row>
    <row r="74">
      <c r="A74" s="4" t="n">
        <v>73</v>
      </c>
      <c r="B74" s="6" t="n"/>
      <c r="C74" s="4">
        <f>IFERROR(VLOOKUP(B74,Шығармалар!$B$2:$C$16,2,0),"")</f>
        <v/>
      </c>
      <c r="D74" s="6" t="n"/>
      <c r="E74" s="6" t="n"/>
      <c r="F74" s="5">
        <f>IFERROR(VLOOKUP(D74,Ойындар!$B$2:$C$14,2,0),"")</f>
        <v/>
      </c>
      <c r="G74" s="6" t="n"/>
      <c r="H74" s="6" t="n"/>
      <c r="I74" s="7" t="n"/>
      <c r="J74" s="6" t="n"/>
      <c r="K74" s="7" t="n"/>
    </row>
    <row r="75">
      <c r="A75" s="4" t="n">
        <v>74</v>
      </c>
      <c r="B75" s="6" t="n"/>
      <c r="C75" s="4">
        <f>IFERROR(VLOOKUP(B75,Шығармалар!$B$2:$C$16,2,0),"")</f>
        <v/>
      </c>
      <c r="D75" s="6" t="n"/>
      <c r="E75" s="6" t="n"/>
      <c r="F75" s="5">
        <f>IFERROR(VLOOKUP(D75,Ойындар!$B$2:$C$14,2,0),"")</f>
        <v/>
      </c>
      <c r="G75" s="6" t="n"/>
      <c r="H75" s="6" t="n"/>
      <c r="I75" s="7" t="n"/>
      <c r="J75" s="6" t="n"/>
      <c r="K75" s="7" t="n"/>
    </row>
    <row r="76">
      <c r="A76" s="4" t="n">
        <v>75</v>
      </c>
      <c r="B76" s="6" t="n"/>
      <c r="C76" s="4">
        <f>IFERROR(VLOOKUP(B76,Шығармалар!$B$2:$C$16,2,0),"")</f>
        <v/>
      </c>
      <c r="D76" s="6" t="n"/>
      <c r="E76" s="6" t="n"/>
      <c r="F76" s="5">
        <f>IFERROR(VLOOKUP(D76,Ойындар!$B$2:$C$14,2,0),"")</f>
        <v/>
      </c>
      <c r="G76" s="6" t="n"/>
      <c r="H76" s="6" t="n"/>
      <c r="I76" s="7" t="n"/>
      <c r="J76" s="6" t="n"/>
      <c r="K76" s="7" t="n"/>
    </row>
    <row r="77">
      <c r="A77" s="4" t="n">
        <v>76</v>
      </c>
      <c r="B77" s="6" t="n"/>
      <c r="C77" s="4">
        <f>IFERROR(VLOOKUP(B77,Шығармалар!$B$2:$C$16,2,0),"")</f>
        <v/>
      </c>
      <c r="D77" s="6" t="n"/>
      <c r="E77" s="6" t="n"/>
      <c r="F77" s="5">
        <f>IFERROR(VLOOKUP(D77,Ойындар!$B$2:$C$14,2,0),"")</f>
        <v/>
      </c>
      <c r="G77" s="6" t="n"/>
      <c r="H77" s="6" t="n"/>
      <c r="I77" s="7" t="n"/>
      <c r="J77" s="6" t="n"/>
      <c r="K77" s="7" t="n"/>
    </row>
    <row r="78">
      <c r="A78" s="4" t="n">
        <v>77</v>
      </c>
      <c r="B78" s="6" t="n"/>
      <c r="C78" s="4">
        <f>IFERROR(VLOOKUP(B78,Шығармалар!$B$2:$C$16,2,0),"")</f>
        <v/>
      </c>
      <c r="D78" s="6" t="n"/>
      <c r="E78" s="6" t="n"/>
      <c r="F78" s="5">
        <f>IFERROR(VLOOKUP(D78,Ойындар!$B$2:$C$14,2,0),"")</f>
        <v/>
      </c>
      <c r="G78" s="6" t="n"/>
      <c r="H78" s="6" t="n"/>
      <c r="I78" s="7" t="n"/>
      <c r="J78" s="6" t="n"/>
      <c r="K78" s="7" t="n"/>
    </row>
    <row r="79">
      <c r="A79" s="4" t="n">
        <v>78</v>
      </c>
      <c r="B79" s="6" t="n"/>
      <c r="C79" s="4">
        <f>IFERROR(VLOOKUP(B79,Шығармалар!$B$2:$C$16,2,0),"")</f>
        <v/>
      </c>
      <c r="D79" s="6" t="n"/>
      <c r="E79" s="6" t="n"/>
      <c r="F79" s="5">
        <f>IFERROR(VLOOKUP(D79,Ойындар!$B$2:$C$14,2,0),"")</f>
        <v/>
      </c>
      <c r="G79" s="6" t="n"/>
      <c r="H79" s="6" t="n"/>
      <c r="I79" s="7" t="n"/>
      <c r="J79" s="6" t="n"/>
      <c r="K79" s="7" t="n"/>
    </row>
    <row r="80">
      <c r="A80" s="4" t="n">
        <v>79</v>
      </c>
      <c r="B80" s="6" t="n"/>
      <c r="C80" s="4">
        <f>IFERROR(VLOOKUP(B80,Шығармалар!$B$2:$C$16,2,0),"")</f>
        <v/>
      </c>
      <c r="D80" s="6" t="n"/>
      <c r="E80" s="6" t="n"/>
      <c r="F80" s="5">
        <f>IFERROR(VLOOKUP(D80,Ойындар!$B$2:$C$14,2,0),"")</f>
        <v/>
      </c>
      <c r="G80" s="6" t="n"/>
      <c r="H80" s="6" t="n"/>
      <c r="I80" s="7" t="n"/>
      <c r="J80" s="6" t="n"/>
      <c r="K80" s="7" t="n"/>
    </row>
    <row r="81">
      <c r="A81" s="4" t="n">
        <v>80</v>
      </c>
      <c r="B81" s="6" t="n"/>
      <c r="C81" s="4">
        <f>IFERROR(VLOOKUP(B81,Шығармалар!$B$2:$C$16,2,0),"")</f>
        <v/>
      </c>
      <c r="D81" s="6" t="n"/>
      <c r="E81" s="6" t="n"/>
      <c r="F81" s="5">
        <f>IFERROR(VLOOKUP(D81,Ойындар!$B$2:$C$14,2,0),"")</f>
        <v/>
      </c>
      <c r="G81" s="6" t="n"/>
      <c r="H81" s="6" t="n"/>
      <c r="I81" s="7" t="n"/>
      <c r="J81" s="6" t="n"/>
      <c r="K81" s="7" t="n"/>
    </row>
  </sheetData>
  <dataValidations count="3">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showDropDown="0" showInputMessage="0" showErrorMessage="0" allowBlank="1" type="list">
      <formula1>=Шығармалар!$B$2:$B$16</formula1>
    </dataValidation>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showDropDown="0" showInputMessage="0" showErrorMessage="0" allowBlank="1" type="list">
      <formula1>=Ойындар!$B$2:$B$14</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showDropDown="0" showInputMessage="0" showErrorMessage="0" allowBlank="1" type="list">
      <formula1>"С,Б,Қ,Т,Ш"</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Z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ht="60" customHeight="1">
      <c r="A1" s="3" t="inlineStr">
        <is>
          <t>Код</t>
        </is>
      </c>
      <c r="B1" s="3" t="inlineStr">
        <is>
          <t>Сынып</t>
        </is>
      </c>
      <c r="C1" s="3" t="inlineStr">
        <is>
          <t>Бәйге: білу (0/1/2)</t>
        </is>
      </c>
      <c r="D1" s="3" t="inlineStr">
        <is>
          <t>Бәйге: ертегіден (1/0)</t>
        </is>
      </c>
      <c r="E1" s="3" t="inlineStr">
        <is>
          <t>Көкпар: білу (0/1/2)</t>
        </is>
      </c>
      <c r="F1" s="3" t="inlineStr">
        <is>
          <t>Көкпар: ертегіден (1/0)</t>
        </is>
      </c>
      <c r="G1" s="3" t="inlineStr">
        <is>
          <t>Қыз қуу: білу (0/1/2)</t>
        </is>
      </c>
      <c r="H1" s="3" t="inlineStr">
        <is>
          <t>Қыз қуу: ертегіден (1/0)</t>
        </is>
      </c>
      <c r="I1" s="3" t="inlineStr">
        <is>
          <t>Теңге алу: білу (0/1/2)</t>
        </is>
      </c>
      <c r="J1" s="3" t="inlineStr">
        <is>
          <t>Теңге алу: ертегіден (1/0)</t>
        </is>
      </c>
      <c r="K1" s="3" t="inlineStr">
        <is>
          <t>Аударыспақ: білу (0/1/2)</t>
        </is>
      </c>
      <c r="L1" s="3" t="inlineStr">
        <is>
          <t>Аударыспақ: ертегіден (1/0)</t>
        </is>
      </c>
      <c r="M1" s="3" t="inlineStr">
        <is>
          <t>Күрес: білу (0/1/2)</t>
        </is>
      </c>
      <c r="N1" s="3" t="inlineStr">
        <is>
          <t>Күрес: ертегіден (1/0)</t>
        </is>
      </c>
      <c r="O1" s="3" t="inlineStr">
        <is>
          <t>Жамбы ату: білу (0/1/2)</t>
        </is>
      </c>
      <c r="P1" s="3" t="inlineStr">
        <is>
          <t>Жамбы ату: ертегіден (1/0)</t>
        </is>
      </c>
      <c r="Q1" s="3" t="inlineStr">
        <is>
          <t>Тоғызқұмалақ: білу (0/1/2)</t>
        </is>
      </c>
      <c r="R1" s="3" t="inlineStr">
        <is>
          <t>Тоғызқұмалақ: ертегіден (1/0)</t>
        </is>
      </c>
      <c r="S1" s="3" t="inlineStr">
        <is>
          <t>Жұмбақ айтысу: білу (0/1/2)</t>
        </is>
      </c>
      <c r="T1" s="3" t="inlineStr">
        <is>
          <t>Жұмбақ айтысу: ертегіден (1/0)</t>
        </is>
      </c>
      <c r="U1" s="3" t="inlineStr">
        <is>
          <t>Асық: білу (0/1/2)</t>
        </is>
      </c>
      <c r="V1" s="3" t="inlineStr">
        <is>
          <t>Асық: ертегіден (1/0)</t>
        </is>
      </c>
      <c r="W1" s="3" t="inlineStr">
        <is>
          <t>Ақсүйек: білу (0/1/2)</t>
        </is>
      </c>
      <c r="X1" s="3" t="inlineStr">
        <is>
          <t>Ақсүйек: ертегіден (1/0)</t>
        </is>
      </c>
      <c r="Y1" s="3" t="inlineStr">
        <is>
          <t>Алтыбақан: білу (0/1/2)</t>
        </is>
      </c>
      <c r="Z1" s="3" t="inlineStr">
        <is>
          <t>Алтыбақан: ертегіден (1/0)</t>
        </is>
      </c>
    </row>
    <row r="2">
      <c r="A2" s="4" t="inlineStr">
        <is>
          <t>С01</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row>
    <row r="3">
      <c r="A3" s="4" t="inlineStr">
        <is>
          <t>С02</t>
        </is>
      </c>
      <c r="B3" s="7" t="n"/>
      <c r="C3" s="7" t="n"/>
      <c r="D3" s="7" t="n"/>
      <c r="E3" s="7" t="n"/>
      <c r="F3" s="7" t="n"/>
      <c r="G3" s="7" t="n"/>
      <c r="H3" s="7" t="n"/>
      <c r="I3" s="7" t="n"/>
      <c r="J3" s="7" t="n"/>
      <c r="K3" s="7" t="n"/>
      <c r="L3" s="7" t="n"/>
      <c r="M3" s="7" t="n"/>
      <c r="N3" s="7" t="n"/>
      <c r="O3" s="7" t="n"/>
      <c r="P3" s="7" t="n"/>
      <c r="Q3" s="7" t="n"/>
      <c r="R3" s="7" t="n"/>
      <c r="S3" s="7" t="n"/>
      <c r="T3" s="7" t="n"/>
      <c r="U3" s="7" t="n"/>
      <c r="V3" s="7" t="n"/>
      <c r="W3" s="7" t="n"/>
      <c r="X3" s="7" t="n"/>
      <c r="Y3" s="7" t="n"/>
      <c r="Z3" s="7" t="n"/>
    </row>
    <row r="4">
      <c r="A4" s="4" t="inlineStr">
        <is>
          <t>С03</t>
        </is>
      </c>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row>
    <row r="5">
      <c r="A5" s="4" t="inlineStr">
        <is>
          <t>С04</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row>
    <row r="6">
      <c r="A6" s="4" t="inlineStr">
        <is>
          <t>С05</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row>
    <row r="7">
      <c r="A7" s="4" t="inlineStr">
        <is>
          <t>С06</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s="4" t="inlineStr">
        <is>
          <t>С07</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row>
    <row r="9">
      <c r="A9" s="4" t="inlineStr">
        <is>
          <t>С08</t>
        </is>
      </c>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row>
    <row r="10">
      <c r="A10" s="4" t="inlineStr">
        <is>
          <t>С09</t>
        </is>
      </c>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row>
    <row r="11">
      <c r="A11" s="4" t="inlineStr">
        <is>
          <t>С10</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row>
    <row r="12">
      <c r="A12" s="4" t="inlineStr">
        <is>
          <t>С11</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row>
    <row r="13">
      <c r="A13" s="4" t="inlineStr">
        <is>
          <t>С12</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row>
    <row r="14">
      <c r="A14" s="4" t="inlineStr">
        <is>
          <t>С13</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row>
    <row r="15">
      <c r="A15" s="4" t="inlineStr">
        <is>
          <t>С14</t>
        </is>
      </c>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row>
    <row r="16">
      <c r="A16" s="4" t="inlineStr">
        <is>
          <t>С15</t>
        </is>
      </c>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row>
    <row r="17">
      <c r="A17" s="4" t="inlineStr">
        <is>
          <t>С16</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row>
    <row r="18">
      <c r="A18" s="4" t="inlineStr">
        <is>
          <t>С17</t>
        </is>
      </c>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row>
    <row r="19">
      <c r="A19" s="4" t="inlineStr">
        <is>
          <t>С18</t>
        </is>
      </c>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4" t="inlineStr">
        <is>
          <t>С19</t>
        </is>
      </c>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row>
    <row r="21">
      <c r="A21" s="4" t="inlineStr">
        <is>
          <t>С20</t>
        </is>
      </c>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row>
    <row r="22">
      <c r="A22" s="4" t="inlineStr">
        <is>
          <t>С21</t>
        </is>
      </c>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row>
    <row r="23">
      <c r="A23" s="4" t="inlineStr">
        <is>
          <t>С22</t>
        </is>
      </c>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row>
    <row r="24">
      <c r="A24" s="4" t="inlineStr">
        <is>
          <t>С23</t>
        </is>
      </c>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row>
    <row r="25">
      <c r="A25" s="4" t="inlineStr">
        <is>
          <t>С24</t>
        </is>
      </c>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row>
    <row r="26">
      <c r="A26" s="4" t="inlineStr">
        <is>
          <t>С25</t>
        </is>
      </c>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row>
    <row r="27">
      <c r="A27" s="4" t="inlineStr">
        <is>
          <t>С26</t>
        </is>
      </c>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row>
    <row r="28">
      <c r="A28" s="4" t="inlineStr">
        <is>
          <t>С27</t>
        </is>
      </c>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row>
    <row r="29">
      <c r="A29" s="4" t="inlineStr">
        <is>
          <t>С28</t>
        </is>
      </c>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row>
    <row r="30">
      <c r="A30" s="4" t="inlineStr">
        <is>
          <t>С29</t>
        </is>
      </c>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row>
    <row r="31">
      <c r="A31" s="4" t="inlineStr">
        <is>
          <t>С30</t>
        </is>
      </c>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row>
    <row r="32">
      <c r="A32" s="4" t="inlineStr">
        <is>
          <t>С31</t>
        </is>
      </c>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row>
    <row r="33">
      <c r="A33" s="4" t="inlineStr">
        <is>
          <t>С32</t>
        </is>
      </c>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row>
    <row r="34">
      <c r="A34" s="4" t="inlineStr">
        <is>
          <t>С33</t>
        </is>
      </c>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row>
    <row r="35">
      <c r="A35" s="4" t="inlineStr">
        <is>
          <t>С34</t>
        </is>
      </c>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row>
    <row r="36">
      <c r="A36" s="4" t="inlineStr">
        <is>
          <t>С35</t>
        </is>
      </c>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row>
    <row r="37">
      <c r="A37" s="4" t="inlineStr">
        <is>
          <t>С36</t>
        </is>
      </c>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row>
    <row r="38">
      <c r="A38" s="4" t="inlineStr">
        <is>
          <t>С37</t>
        </is>
      </c>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row>
    <row r="39">
      <c r="A39" s="4" t="inlineStr">
        <is>
          <t>С38</t>
        </is>
      </c>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row>
    <row r="40">
      <c r="A40" s="4" t="inlineStr">
        <is>
          <t>С39</t>
        </is>
      </c>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row>
    <row r="41">
      <c r="A41" s="4" t="inlineStr">
        <is>
          <t>С40</t>
        </is>
      </c>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row>
  </sheetData>
  <dataValidations count="2">
    <dataValidation sqref="C2 C3 C4 C5 C6 C7 C8 C9 C10 C11 C12 C13 C14 C15 C16 C17 C18 C19 C20 C21 C22 C23 C24 C25 C26 C27 C28 C29 C30 C31 C32 C33 C34 C35 C36 C37 C38 C39 C40 C41 E2 E3 E4 E5 E6 E7 E8 E9 E10 E11 E12 E13 E14 E15 E16 E17 E18 E19 E20 E21 E22 E23 E24 E25 E26 E27 E28 E29 E30 E31 E32 E33 E34 E35 E36 E37 E38 E39 E40 E41 G2 G3 G4 G5 G6 G7 G8 G9 G10 G11 G12 G13 G14 G15 G16 G17 G18 G19 G20 G21 G22 G23 G24 G25 G26 G27 G28 G29 G30 G31 G32 G33 G34 G35 G36 G37 G38 G39 G40 G41 I2 I3 I4 I5 I6 I7 I8 I9 I10 I11 I12 I13 I14 I15 I16 I17 I18 I19 I20 I21 I22 I23 I24 I25 I26 I27 I28 I29 I30 I31 I32 I33 I34 I35 I36 I37 I38 I39 I40 I41 K2 K3 K4 K5 K6 K7 K8 K9 K10 K11 K12 K13 K14 K15 K16 K17 K18 K19 K20 K21 K22 K23 K24 K25 K26 K27 K28 K29 K30 K31 K32 K33 K34 K35 K36 K37 K38 K39 K40 K41 M2 M3 M4 M5 M6 M7 M8 M9 M10 M11 M12 M13 M14 M15 M16 M17 M18 M19 M20 M21 M22 M23 M24 M25 M26 M27 M28 M29 M30 M31 M32 M33 M34 M35 M36 M37 M38 M39 M40 M41 O2 O3 O4 O5 O6 O7 O8 O9 O10 O11 O12 O13 O14 O15 O16 O17 O18 O19 O20 O21 O22 O23 O24 O25 O26 O27 O28 O29 O30 O31 O32 O33 O34 O35 O36 O37 O38 O39 O40 O41 Q2 Q3 Q4 Q5 Q6 Q7 Q8 Q9 Q10 Q11 Q12 Q13 Q14 Q15 Q16 Q17 Q18 Q19 Q20 Q21 Q22 Q23 Q24 Q25 Q26 Q27 Q28 Q29 Q30 Q31 Q32 Q33 Q34 Q35 Q36 Q37 Q38 Q39 Q40 Q41 S2 S3 S4 S5 S6 S7 S8 S9 S10 S11 S12 S13 S14 S15 S16 S17 S18 S19 S20 S21 S22 S23 S24 S25 S26 S27 S28 S29 S30 S31 S32 S33 S34 S35 S36 S37 S38 S39 S40 S41 U2 U3 U4 U5 U6 U7 U8 U9 U10 U11 U12 U13 U14 U15 U16 U17 U18 U19 U20 U21 U22 U23 U24 U25 U26 U27 U28 U29 U30 U31 U32 U33 U34 U35 U36 U37 U38 U39 U40 U41 W2 W3 W4 W5 W6 W7 W8 W9 W10 W11 W12 W13 W14 W15 W16 W17 W18 W19 W20 W21 W22 W23 W24 W25 W26 W27 W28 W29 W30 W31 W32 W33 W34 W35 W36 W37 W38 W39 W40 W41 Y2 Y3 Y4 Y5 Y6 Y7 Y8 Y9 Y10 Y11 Y12 Y13 Y14 Y15 Y16 Y17 Y18 Y19 Y20 Y21 Y22 Y23 Y24 Y25 Y26 Y27 Y28 Y29 Y30 Y31 Y32 Y33 Y34 Y35 Y36 Y37 Y38 Y39 Y40 Y41" showDropDown="0" showInputMessage="0" showErrorMessage="0" allowBlank="1" type="list">
      <formula1>"0,1,2"</formula1>
    </dataValidation>
    <dataValidation sqref="D2 D3 D4 D5 D6 D7 D8 D9 D10 D11 D12 D13 D14 D15 D16 D17 D18 D19 D20 D21 D22 D23 D24 D25 D26 D27 D28 D29 D30 D31 D32 D33 D34 D35 D36 D37 D38 D39 D40 D41 F2 F3 F4 F5 F6 F7 F8 F9 F10 F11 F12 F13 F14 F15 F16 F17 F18 F19 F20 F21 F22 F23 F24 F25 F26 F27 F28 F29 F30 F31 F32 F33 F34 F35 F36 F37 F38 F39 F40 F41 H2 H3 H4 H5 H6 H7 H8 H9 H10 H11 H12 H13 H14 H15 H16 H17 H18 H19 H20 H21 H22 H23 H24 H25 H26 H27 H28 H29 H30 H31 H32 H33 H34 H35 H36 H37 H38 H39 H40 H41 J2 J3 J4 J5 J6 J7 J8 J9 J10 J11 J12 J13 J14 J15 J16 J17 J18 J19 J20 J21 J22 J23 J24 J25 J26 J27 J28 J29 J30 J31 J32 J33 J34 J35 J36 J37 J38 J39 J40 J41 L2 L3 L4 L5 L6 L7 L8 L9 L10 L11 L12 L13 L14 L15 L16 L17 L18 L19 L20 L21 L22 L23 L24 L25 L26 L27 L28 L29 L30 L31 L32 L33 L34 L35 L36 L37 L38 L39 L40 L41 N2 N3 N4 N5 N6 N7 N8 N9 N10 N11 N12 N13 N14 N15 N16 N17 N18 N19 N20 N21 N22 N23 N24 N25 N26 N27 N28 N29 N30 N31 N32 N33 N34 N35 N36 N37 N38 N39 N40 N41 P2 P3 P4 P5 P6 P7 P8 P9 P10 P11 P12 P13 P14 P15 P16 P17 P18 P19 P20 P21 P22 P23 P24 P25 P26 P27 P28 P29 P30 P31 P32 P33 P34 P35 P36 P37 P38 P39 P40 P41 R2 R3 R4 R5 R6 R7 R8 R9 R10 R11 R12 R13 R14 R15 R16 R17 R18 R19 R20 R21 R22 R23 R24 R25 R26 R27 R28 R29 R30 R31 R32 R33 R34 R35 R36 R37 R38 R39 R40 R41 T2 T3 T4 T5 T6 T7 T8 T9 T10 T11 T12 T13 T14 T15 T16 T17 T18 T19 T20 T21 T22 T23 T24 T25 T26 T27 T28 T29 T30 T31 T32 T33 T34 T35 T36 T37 T38 T39 T40 T41 V2 V3 V4 V5 V6 V7 V8 V9 V10 V11 V12 V13 V14 V15 V16 V17 V18 V19 V20 V21 V22 V23 V24 V25 V26 V27 V28 V29 V30 V31 V32 V33 V34 V35 V36 V37 V38 V39 V40 V41 X2 X3 X4 X5 X6 X7 X8 X9 X10 X11 X12 X13 X14 X15 X16 X17 X18 X19 X20 X21 X22 X23 X24 X25 X26 X27 X28 X29 X30 X31 X32 X33 X34 X35 X36 X37 X38 X39 X40 X41 Z2 Z3 Z4 Z5 Z6 Z7 Z8 Z9 Z10 Z11 Z12 Z13 Z14 Z15 Z16 Z17 Z18 Z19 Z20 Z21 Z22 Z23 Z24 Z25 Z26 Z27 Z28 Z29 Z30 Z31 Z32 Z33 Z34 Z35 Z36 Z37 Z38 Z39 Z40 Z41" showDropDown="0" showInputMessage="0" showErrorMessage="0" allowBlank="1" type="list">
      <formula1>"0,1"</formula1>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D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8" t="inlineStr">
        <is>
          <t>Мәтін талдауы: ойындардың кездесуі</t>
        </is>
      </c>
    </row>
    <row r="2">
      <c r="A2" s="3" t="inlineStr">
        <is>
          <t>Ойын</t>
        </is>
      </c>
      <c r="B2" s="3" t="inlineStr">
        <is>
          <t>Ертегіде</t>
        </is>
      </c>
      <c r="C2" s="3" t="inlineStr">
        <is>
          <t>Жырда</t>
        </is>
      </c>
      <c r="D2" s="3" t="inlineStr">
        <is>
          <t>Барлығы</t>
        </is>
      </c>
    </row>
    <row r="3">
      <c r="A3" s="5" t="inlineStr">
        <is>
          <t>Бәйге</t>
        </is>
      </c>
      <c r="B3" s="4">
        <f>COUNTIFS('Мәтін талдауы'!$D$2:$D$81,A3,'Мәтін талдауы'!$C$2:$C$81,"Ертегі")</f>
        <v/>
      </c>
      <c r="C3" s="4">
        <f>COUNTIFS('Мәтін талдауы'!$D$2:$D$81,A3,'Мәтін талдауы'!$C$2:$C$81,"Жыр")</f>
        <v/>
      </c>
      <c r="D3" s="4">
        <f>B3+C3</f>
        <v/>
      </c>
    </row>
    <row r="4">
      <c r="A4" s="5" t="inlineStr">
        <is>
          <t>Көкпар</t>
        </is>
      </c>
      <c r="B4" s="4">
        <f>COUNTIFS('Мәтін талдауы'!$D$2:$D$81,A4,'Мәтін талдауы'!$C$2:$C$81,"Ертегі")</f>
        <v/>
      </c>
      <c r="C4" s="4">
        <f>COUNTIFS('Мәтін талдауы'!$D$2:$D$81,A4,'Мәтін талдауы'!$C$2:$C$81,"Жыр")</f>
        <v/>
      </c>
      <c r="D4" s="4">
        <f>B4+C4</f>
        <v/>
      </c>
    </row>
    <row r="5">
      <c r="A5" s="5" t="inlineStr">
        <is>
          <t>Қыз қуу</t>
        </is>
      </c>
      <c r="B5" s="4">
        <f>COUNTIFS('Мәтін талдауы'!$D$2:$D$81,A5,'Мәтін талдауы'!$C$2:$C$81,"Ертегі")</f>
        <v/>
      </c>
      <c r="C5" s="4">
        <f>COUNTIFS('Мәтін талдауы'!$D$2:$D$81,A5,'Мәтін талдауы'!$C$2:$C$81,"Жыр")</f>
        <v/>
      </c>
      <c r="D5" s="4">
        <f>B5+C5</f>
        <v/>
      </c>
    </row>
    <row r="6">
      <c r="A6" s="5" t="inlineStr">
        <is>
          <t>Теңге алу</t>
        </is>
      </c>
      <c r="B6" s="4">
        <f>COUNTIFS('Мәтін талдауы'!$D$2:$D$81,A6,'Мәтін талдауы'!$C$2:$C$81,"Ертегі")</f>
        <v/>
      </c>
      <c r="C6" s="4">
        <f>COUNTIFS('Мәтін талдауы'!$D$2:$D$81,A6,'Мәтін талдауы'!$C$2:$C$81,"Жыр")</f>
        <v/>
      </c>
      <c r="D6" s="4">
        <f>B6+C6</f>
        <v/>
      </c>
    </row>
    <row r="7">
      <c r="A7" s="5" t="inlineStr">
        <is>
          <t>Аударыспақ</t>
        </is>
      </c>
      <c r="B7" s="4">
        <f>COUNTIFS('Мәтін талдауы'!$D$2:$D$81,A7,'Мәтін талдауы'!$C$2:$C$81,"Ертегі")</f>
        <v/>
      </c>
      <c r="C7" s="4">
        <f>COUNTIFS('Мәтін талдауы'!$D$2:$D$81,A7,'Мәтін талдауы'!$C$2:$C$81,"Жыр")</f>
        <v/>
      </c>
      <c r="D7" s="4">
        <f>B7+C7</f>
        <v/>
      </c>
    </row>
    <row r="8">
      <c r="A8" s="5" t="inlineStr">
        <is>
          <t>Күрес</t>
        </is>
      </c>
      <c r="B8" s="4">
        <f>COUNTIFS('Мәтін талдауы'!$D$2:$D$81,A8,'Мәтін талдауы'!$C$2:$C$81,"Ертегі")</f>
        <v/>
      </c>
      <c r="C8" s="4">
        <f>COUNTIFS('Мәтін талдауы'!$D$2:$D$81,A8,'Мәтін талдауы'!$C$2:$C$81,"Жыр")</f>
        <v/>
      </c>
      <c r="D8" s="4">
        <f>B8+C8</f>
        <v/>
      </c>
    </row>
    <row r="9">
      <c r="A9" s="5" t="inlineStr">
        <is>
          <t>Жамбы ату</t>
        </is>
      </c>
      <c r="B9" s="4">
        <f>COUNTIFS('Мәтін талдауы'!$D$2:$D$81,A9,'Мәтін талдауы'!$C$2:$C$81,"Ертегі")</f>
        <v/>
      </c>
      <c r="C9" s="4">
        <f>COUNTIFS('Мәтін талдауы'!$D$2:$D$81,A9,'Мәтін талдауы'!$C$2:$C$81,"Жыр")</f>
        <v/>
      </c>
      <c r="D9" s="4">
        <f>B9+C9</f>
        <v/>
      </c>
    </row>
    <row r="10">
      <c r="A10" s="5" t="inlineStr">
        <is>
          <t>Тоғызқұмалақ</t>
        </is>
      </c>
      <c r="B10" s="4">
        <f>COUNTIFS('Мәтін талдауы'!$D$2:$D$81,A10,'Мәтін талдауы'!$C$2:$C$81,"Ертегі")</f>
        <v/>
      </c>
      <c r="C10" s="4">
        <f>COUNTIFS('Мәтін талдауы'!$D$2:$D$81,A10,'Мәтін талдауы'!$C$2:$C$81,"Жыр")</f>
        <v/>
      </c>
      <c r="D10" s="4">
        <f>B10+C10</f>
        <v/>
      </c>
    </row>
    <row r="11">
      <c r="A11" s="5" t="inlineStr">
        <is>
          <t>Жұмбақ айтысу</t>
        </is>
      </c>
      <c r="B11" s="4">
        <f>COUNTIFS('Мәтін талдауы'!$D$2:$D$81,A11,'Мәтін талдауы'!$C$2:$C$81,"Ертегі")</f>
        <v/>
      </c>
      <c r="C11" s="4">
        <f>COUNTIFS('Мәтін талдауы'!$D$2:$D$81,A11,'Мәтін талдауы'!$C$2:$C$81,"Жыр")</f>
        <v/>
      </c>
      <c r="D11" s="4">
        <f>B11+C11</f>
        <v/>
      </c>
    </row>
    <row r="12">
      <c r="A12" s="5" t="inlineStr">
        <is>
          <t>Асық</t>
        </is>
      </c>
      <c r="B12" s="4">
        <f>COUNTIFS('Мәтін талдауы'!$D$2:$D$81,A12,'Мәтін талдауы'!$C$2:$C$81,"Ертегі")</f>
        <v/>
      </c>
      <c r="C12" s="4">
        <f>COUNTIFS('Мәтін талдауы'!$D$2:$D$81,A12,'Мәтін талдауы'!$C$2:$C$81,"Жыр")</f>
        <v/>
      </c>
      <c r="D12" s="4">
        <f>B12+C12</f>
        <v/>
      </c>
    </row>
    <row r="13">
      <c r="A13" s="5" t="inlineStr">
        <is>
          <t>Ақсүйек</t>
        </is>
      </c>
      <c r="B13" s="4">
        <f>COUNTIFS('Мәтін талдауы'!$D$2:$D$81,A13,'Мәтін талдауы'!$C$2:$C$81,"Ертегі")</f>
        <v/>
      </c>
      <c r="C13" s="4">
        <f>COUNTIFS('Мәтін талдауы'!$D$2:$D$81,A13,'Мәтін талдауы'!$C$2:$C$81,"Жыр")</f>
        <v/>
      </c>
      <c r="D13" s="4">
        <f>B13+C13</f>
        <v/>
      </c>
    </row>
    <row r="14">
      <c r="A14" s="5" t="inlineStr">
        <is>
          <t>Алтыбақан</t>
        </is>
      </c>
      <c r="B14" s="4">
        <f>COUNTIFS('Мәтін талдауы'!$D$2:$D$81,A14,'Мәтін талдауы'!$C$2:$C$81,"Ертегі")</f>
        <v/>
      </c>
      <c r="C14" s="4">
        <f>COUNTIFS('Мәтін талдауы'!$D$2:$D$81,A14,'Мәтін талдауы'!$C$2:$C$81,"Жыр")</f>
        <v/>
      </c>
      <c r="D14" s="4">
        <f>B14+C14</f>
        <v/>
      </c>
    </row>
    <row r="15">
      <c r="A15" s="5" t="inlineStr">
        <is>
          <t>Басқа</t>
        </is>
      </c>
      <c r="B15" s="4">
        <f>COUNTIFS('Мәтін талдауы'!$D$2:$D$81,A15,'Мәтін талдауы'!$C$2:$C$81,"Ертегі")</f>
        <v/>
      </c>
      <c r="C15" s="4">
        <f>COUNTIFS('Мәтін талдауы'!$D$2:$D$81,A15,'Мәтін талдауы'!$C$2:$C$81,"Жыр")</f>
        <v/>
      </c>
      <c r="D15" s="4">
        <f>B15+C15</f>
        <v/>
      </c>
    </row>
    <row r="16">
      <c r="A16" s="9" t="inlineStr">
        <is>
          <t>Барлық эпизод</t>
        </is>
      </c>
      <c r="B16" s="4">
        <f>SUM(B3:B15)</f>
        <v/>
      </c>
      <c r="C16" s="4">
        <f>SUM(C3:C15)</f>
        <v/>
      </c>
      <c r="D16" s="4">
        <f>SUM(D3:D15)</f>
        <v/>
      </c>
    </row>
    <row r="18">
      <c r="A18" s="8" t="inlineStr">
        <is>
          <t>Ойын түрлері</t>
        </is>
      </c>
    </row>
    <row r="19">
      <c r="A19" s="3" t="inlineStr">
        <is>
          <t>Түрі</t>
        </is>
      </c>
      <c r="B19" s="3" t="inlineStr">
        <is>
          <t>Ертегіде</t>
        </is>
      </c>
      <c r="C19" s="3" t="inlineStr">
        <is>
          <t>Жырда</t>
        </is>
      </c>
      <c r="D19" s="3" t="inlineStr">
        <is>
          <t>Барлығы</t>
        </is>
      </c>
    </row>
    <row r="20">
      <c r="A20" s="5" t="inlineStr">
        <is>
          <t>Ат ойындары</t>
        </is>
      </c>
      <c r="B20" s="4">
        <f>COUNTIFS('Мәтін талдауы'!$F$2:$F$81,A20,'Мәтін талдауы'!$C$2:$C$81,"Ертегі")</f>
        <v/>
      </c>
      <c r="C20" s="4">
        <f>COUNTIFS('Мәтін талдауы'!$F$2:$F$81,A20,'Мәтін талдауы'!$C$2:$C$81,"Жыр")</f>
        <v/>
      </c>
      <c r="D20" s="4">
        <f>B20+C20</f>
        <v/>
      </c>
    </row>
    <row r="21">
      <c r="A21" s="5" t="inlineStr">
        <is>
          <t>Күш және мергендік ойындары</t>
        </is>
      </c>
      <c r="B21" s="4">
        <f>COUNTIFS('Мәтін талдауы'!$F$2:$F$81,A21,'Мәтін талдауы'!$C$2:$C$81,"Ертегі")</f>
        <v/>
      </c>
      <c r="C21" s="4">
        <f>COUNTIFS('Мәтін талдауы'!$F$2:$F$81,A21,'Мәтін талдауы'!$C$2:$C$81,"Жыр")</f>
        <v/>
      </c>
      <c r="D21" s="4">
        <f>B21+C21</f>
        <v/>
      </c>
    </row>
    <row r="22">
      <c r="A22" s="5" t="inlineStr">
        <is>
          <t>Зияткерлік және сөз ойындары</t>
        </is>
      </c>
      <c r="B22" s="4">
        <f>COUNTIFS('Мәтін талдауы'!$F$2:$F$81,A22,'Мәтін талдауы'!$C$2:$C$81,"Ертегі")</f>
        <v/>
      </c>
      <c r="C22" s="4">
        <f>COUNTIFS('Мәтін талдауы'!$F$2:$F$81,A22,'Мәтін талдауы'!$C$2:$C$81,"Жыр")</f>
        <v/>
      </c>
      <c r="D22" s="4">
        <f>B22+C22</f>
        <v/>
      </c>
    </row>
    <row r="23">
      <c r="A23" s="5" t="inlineStr">
        <is>
          <t>Балалар ойындары</t>
        </is>
      </c>
      <c r="B23" s="4">
        <f>COUNTIFS('Мәтін талдауы'!$F$2:$F$81,A23,'Мәтін талдауы'!$C$2:$C$81,"Ертегі")</f>
        <v/>
      </c>
      <c r="C23" s="4">
        <f>COUNTIFS('Мәтін талдауы'!$F$2:$F$81,A23,'Мәтін талдауы'!$C$2:$C$81,"Жыр")</f>
        <v/>
      </c>
      <c r="D23" s="4">
        <f>B23+C23</f>
        <v/>
      </c>
    </row>
    <row r="24">
      <c r="A24" s="5" t="inlineStr">
        <is>
          <t>Ойын-сауық</t>
        </is>
      </c>
      <c r="B24" s="4">
        <f>COUNTIFS('Мәтін талдауы'!$F$2:$F$81,A24,'Мәтін талдауы'!$C$2:$C$81,"Ертегі")</f>
        <v/>
      </c>
      <c r="C24" s="4">
        <f>COUNTIFS('Мәтін талдауы'!$F$2:$F$81,A24,'Мәтін талдауы'!$C$2:$C$81,"Жыр")</f>
        <v/>
      </c>
      <c r="D24" s="4">
        <f>B24+C24</f>
        <v/>
      </c>
    </row>
    <row r="26">
      <c r="A26" s="8" t="inlineStr">
        <is>
          <t>Ойынның сюжеттегі қызметі</t>
        </is>
      </c>
    </row>
    <row r="27">
      <c r="A27" s="3" t="inlineStr">
        <is>
          <t>Қызметі</t>
        </is>
      </c>
      <c r="B27" s="3" t="inlineStr">
        <is>
          <t>Ертегіде</t>
        </is>
      </c>
      <c r="C27" s="3" t="inlineStr">
        <is>
          <t>Жырда</t>
        </is>
      </c>
      <c r="D27" s="3" t="inlineStr">
        <is>
          <t>Барлығы</t>
        </is>
      </c>
    </row>
    <row r="28">
      <c r="A28" s="5" t="inlineStr">
        <is>
          <t>С – Сынақ</t>
        </is>
      </c>
      <c r="B28" s="4">
        <f>COUNTIFS('Мәтін талдауы'!$I$2:$I$81,"С",'Мәтін талдауы'!$C$2:$C$81,"Ертегі")</f>
        <v/>
      </c>
      <c r="C28" s="4">
        <f>COUNTIFS('Мәтін талдауы'!$I$2:$I$81,"С",'Мәтін талдауы'!$C$2:$C$81,"Жыр")</f>
        <v/>
      </c>
      <c r="D28" s="4">
        <f>B28+C28</f>
        <v/>
      </c>
    </row>
    <row r="29">
      <c r="A29" s="5" t="inlineStr">
        <is>
          <t>Б – Сюжетті бастау</t>
        </is>
      </c>
      <c r="B29" s="4">
        <f>COUNTIFS('Мәтін талдауы'!$I$2:$I$81,"Б",'Мәтін талдауы'!$C$2:$C$81,"Ертегі")</f>
        <v/>
      </c>
      <c r="C29" s="4">
        <f>COUNTIFS('Мәтін талдауы'!$I$2:$I$81,"Б",'Мәтін талдауы'!$C$2:$C$81,"Жыр")</f>
        <v/>
      </c>
      <c r="D29" s="4">
        <f>B29+C29</f>
        <v/>
      </c>
    </row>
    <row r="30">
      <c r="A30" s="5" t="inlineStr">
        <is>
          <t>Қ – Қасиетін көрсету</t>
        </is>
      </c>
      <c r="B30" s="4">
        <f>COUNTIFS('Мәтін талдауы'!$I$2:$I$81,"Қ",'Мәтін талдауы'!$C$2:$C$81,"Ертегі")</f>
        <v/>
      </c>
      <c r="C30" s="4">
        <f>COUNTIFS('Мәтін талдауы'!$I$2:$I$81,"Қ",'Мәтін талдауы'!$C$2:$C$81,"Жыр")</f>
        <v/>
      </c>
      <c r="D30" s="4">
        <f>B30+C30</f>
        <v/>
      </c>
    </row>
    <row r="31">
      <c r="A31" s="5" t="inlineStr">
        <is>
          <t>Т – Той-думан көрінісі</t>
        </is>
      </c>
      <c r="B31" s="4">
        <f>COUNTIFS('Мәтін талдауы'!$I$2:$I$81,"Т",'Мәтін талдауы'!$C$2:$C$81,"Ертегі")</f>
        <v/>
      </c>
      <c r="C31" s="4">
        <f>COUNTIFS('Мәтін талдауы'!$I$2:$I$81,"Т",'Мәтін талдауы'!$C$2:$C$81,"Жыр")</f>
        <v/>
      </c>
      <c r="D31" s="4">
        <f>B31+C31</f>
        <v/>
      </c>
    </row>
    <row r="32">
      <c r="A32" s="5" t="inlineStr">
        <is>
          <t>Ш – Шешуші сәт</t>
        </is>
      </c>
      <c r="B32" s="4">
        <f>COUNTIFS('Мәтін талдауы'!$I$2:$I$81,"Ш",'Мәтін талдауы'!$C$2:$C$81,"Ертегі")</f>
        <v/>
      </c>
      <c r="C32" s="4">
        <f>COUNTIFS('Мәтін талдауы'!$I$2:$I$81,"Ш",'Мәтін талдауы'!$C$2:$C$81,"Жыр")</f>
        <v/>
      </c>
      <c r="D32" s="4">
        <f>B32+C32</f>
        <v/>
      </c>
    </row>
    <row r="34">
      <c r="A34" s="8" t="inlineStr">
        <is>
          <t>Сауалнама: қатысушылар саны</t>
        </is>
      </c>
      <c r="B34" s="4">
        <f>COUNTA(Сауалнама!$B$2:$B$41)</f>
        <v/>
      </c>
    </row>
    <row r="35">
      <c r="A35" s="3" t="inlineStr">
        <is>
          <t>Ойын</t>
        </is>
      </c>
      <c r="B35" s="3" t="inlineStr">
        <is>
          <t>Біледі, %</t>
        </is>
      </c>
      <c r="C35" s="3" t="inlineStr">
        <is>
          <t>Ойнаған, %</t>
        </is>
      </c>
      <c r="D35" s="3" t="inlineStr">
        <is>
          <t>Ертегіден оқыған, %</t>
        </is>
      </c>
    </row>
    <row r="36">
      <c r="A36" s="5" t="inlineStr">
        <is>
          <t>Бәйге</t>
        </is>
      </c>
      <c r="B36" s="4">
        <f>IFERROR(ROUND(COUNTIF(Сауалнама!$C$2:$C$41,"&gt;=1")/COUNT(Сауалнама!$C$2:$C$41)*100,1),"")</f>
        <v/>
      </c>
      <c r="C36" s="4">
        <f>IFERROR(ROUND(COUNTIF(Сауалнама!$C$2:$C$41,2)/COUNT(Сауалнама!$C$2:$C$41)*100,1),"")</f>
        <v/>
      </c>
      <c r="D36" s="4">
        <f>IFERROR(ROUND(COUNTIF(Сауалнама!$D$2:$D$41,1)/COUNT(Сауалнама!$D$2:$D$41)*100,1),"")</f>
        <v/>
      </c>
    </row>
    <row r="37">
      <c r="A37" s="5" t="inlineStr">
        <is>
          <t>Көкпар</t>
        </is>
      </c>
      <c r="B37" s="4">
        <f>IFERROR(ROUND(COUNTIF(Сауалнама!$E$2:$E$41,"&gt;=1")/COUNT(Сауалнама!$E$2:$E$41)*100,1),"")</f>
        <v/>
      </c>
      <c r="C37" s="4">
        <f>IFERROR(ROUND(COUNTIF(Сауалнама!$E$2:$E$41,2)/COUNT(Сауалнама!$E$2:$E$41)*100,1),"")</f>
        <v/>
      </c>
      <c r="D37" s="4">
        <f>IFERROR(ROUND(COUNTIF(Сауалнама!$F$2:$F$41,1)/COUNT(Сауалнама!$F$2:$F$41)*100,1),"")</f>
        <v/>
      </c>
    </row>
    <row r="38">
      <c r="A38" s="5" t="inlineStr">
        <is>
          <t>Қыз қуу</t>
        </is>
      </c>
      <c r="B38" s="4">
        <f>IFERROR(ROUND(COUNTIF(Сауалнама!$G$2:$G$41,"&gt;=1")/COUNT(Сауалнама!$G$2:$G$41)*100,1),"")</f>
        <v/>
      </c>
      <c r="C38" s="4">
        <f>IFERROR(ROUND(COUNTIF(Сауалнама!$G$2:$G$41,2)/COUNT(Сауалнама!$G$2:$G$41)*100,1),"")</f>
        <v/>
      </c>
      <c r="D38" s="4">
        <f>IFERROR(ROUND(COUNTIF(Сауалнама!$H$2:$H$41,1)/COUNT(Сауалнама!$H$2:$H$41)*100,1),"")</f>
        <v/>
      </c>
    </row>
    <row r="39">
      <c r="A39" s="5" t="inlineStr">
        <is>
          <t>Теңге алу</t>
        </is>
      </c>
      <c r="B39" s="4">
        <f>IFERROR(ROUND(COUNTIF(Сауалнама!$I$2:$I$41,"&gt;=1")/COUNT(Сауалнама!$I$2:$I$41)*100,1),"")</f>
        <v/>
      </c>
      <c r="C39" s="4">
        <f>IFERROR(ROUND(COUNTIF(Сауалнама!$I$2:$I$41,2)/COUNT(Сауалнама!$I$2:$I$41)*100,1),"")</f>
        <v/>
      </c>
      <c r="D39" s="4">
        <f>IFERROR(ROUND(COUNTIF(Сауалнама!$J$2:$J$41,1)/COUNT(Сауалнама!$J$2:$J$41)*100,1),"")</f>
        <v/>
      </c>
    </row>
    <row r="40">
      <c r="A40" s="5" t="inlineStr">
        <is>
          <t>Аударыспақ</t>
        </is>
      </c>
      <c r="B40" s="4">
        <f>IFERROR(ROUND(COUNTIF(Сауалнама!$K$2:$K$41,"&gt;=1")/COUNT(Сауалнама!$K$2:$K$41)*100,1),"")</f>
        <v/>
      </c>
      <c r="C40" s="4">
        <f>IFERROR(ROUND(COUNTIF(Сауалнама!$K$2:$K$41,2)/COUNT(Сауалнама!$K$2:$K$41)*100,1),"")</f>
        <v/>
      </c>
      <c r="D40" s="4">
        <f>IFERROR(ROUND(COUNTIF(Сауалнама!$L$2:$L$41,1)/COUNT(Сауалнама!$L$2:$L$41)*100,1),"")</f>
        <v/>
      </c>
    </row>
    <row r="41">
      <c r="A41" s="5" t="inlineStr">
        <is>
          <t>Күрес</t>
        </is>
      </c>
      <c r="B41" s="4">
        <f>IFERROR(ROUND(COUNTIF(Сауалнама!$M$2:$M$41,"&gt;=1")/COUNT(Сауалнама!$M$2:$M$41)*100,1),"")</f>
        <v/>
      </c>
      <c r="C41" s="4">
        <f>IFERROR(ROUND(COUNTIF(Сауалнама!$M$2:$M$41,2)/COUNT(Сауалнама!$M$2:$M$41)*100,1),"")</f>
        <v/>
      </c>
      <c r="D41" s="4">
        <f>IFERROR(ROUND(COUNTIF(Сауалнама!$N$2:$N$41,1)/COUNT(Сауалнама!$N$2:$N$41)*100,1),"")</f>
        <v/>
      </c>
    </row>
    <row r="42">
      <c r="A42" s="5" t="inlineStr">
        <is>
          <t>Жамбы ату</t>
        </is>
      </c>
      <c r="B42" s="4">
        <f>IFERROR(ROUND(COUNTIF(Сауалнама!$O$2:$O$41,"&gt;=1")/COUNT(Сауалнама!$O$2:$O$41)*100,1),"")</f>
        <v/>
      </c>
      <c r="C42" s="4">
        <f>IFERROR(ROUND(COUNTIF(Сауалнама!$O$2:$O$41,2)/COUNT(Сауалнама!$O$2:$O$41)*100,1),"")</f>
        <v/>
      </c>
      <c r="D42" s="4">
        <f>IFERROR(ROUND(COUNTIF(Сауалнама!$P$2:$P$41,1)/COUNT(Сауалнама!$P$2:$P$41)*100,1),"")</f>
        <v/>
      </c>
    </row>
    <row r="43">
      <c r="A43" s="5" t="inlineStr">
        <is>
          <t>Тоғызқұмалақ</t>
        </is>
      </c>
      <c r="B43" s="4">
        <f>IFERROR(ROUND(COUNTIF(Сауалнама!$Q$2:$Q$41,"&gt;=1")/COUNT(Сауалнама!$Q$2:$Q$41)*100,1),"")</f>
        <v/>
      </c>
      <c r="C43" s="4">
        <f>IFERROR(ROUND(COUNTIF(Сауалнама!$Q$2:$Q$41,2)/COUNT(Сауалнама!$Q$2:$Q$41)*100,1),"")</f>
        <v/>
      </c>
      <c r="D43" s="4">
        <f>IFERROR(ROUND(COUNTIF(Сауалнама!$R$2:$R$41,1)/COUNT(Сауалнама!$R$2:$R$41)*100,1),"")</f>
        <v/>
      </c>
    </row>
    <row r="44">
      <c r="A44" s="5" t="inlineStr">
        <is>
          <t>Жұмбақ айтысу</t>
        </is>
      </c>
      <c r="B44" s="4">
        <f>IFERROR(ROUND(COUNTIF(Сауалнама!$S$2:$S$41,"&gt;=1")/COUNT(Сауалнама!$S$2:$S$41)*100,1),"")</f>
        <v/>
      </c>
      <c r="C44" s="4">
        <f>IFERROR(ROUND(COUNTIF(Сауалнама!$S$2:$S$41,2)/COUNT(Сауалнама!$S$2:$S$41)*100,1),"")</f>
        <v/>
      </c>
      <c r="D44" s="4">
        <f>IFERROR(ROUND(COUNTIF(Сауалнама!$T$2:$T$41,1)/COUNT(Сауалнама!$T$2:$T$41)*100,1),"")</f>
        <v/>
      </c>
    </row>
    <row r="45">
      <c r="A45" s="5" t="inlineStr">
        <is>
          <t>Асық</t>
        </is>
      </c>
      <c r="B45" s="4">
        <f>IFERROR(ROUND(COUNTIF(Сауалнама!$U$2:$U$41,"&gt;=1")/COUNT(Сауалнама!$U$2:$U$41)*100,1),"")</f>
        <v/>
      </c>
      <c r="C45" s="4">
        <f>IFERROR(ROUND(COUNTIF(Сауалнама!$U$2:$U$41,2)/COUNT(Сауалнама!$U$2:$U$41)*100,1),"")</f>
        <v/>
      </c>
      <c r="D45" s="4">
        <f>IFERROR(ROUND(COUNTIF(Сауалнама!$V$2:$V$41,1)/COUNT(Сауалнама!$V$2:$V$41)*100,1),"")</f>
        <v/>
      </c>
    </row>
    <row r="46">
      <c r="A46" s="5" t="inlineStr">
        <is>
          <t>Ақсүйек</t>
        </is>
      </c>
      <c r="B46" s="4">
        <f>IFERROR(ROUND(COUNTIF(Сауалнама!$W$2:$W$41,"&gt;=1")/COUNT(Сауалнама!$W$2:$W$41)*100,1),"")</f>
        <v/>
      </c>
      <c r="C46" s="4">
        <f>IFERROR(ROUND(COUNTIF(Сауалнама!$W$2:$W$41,2)/COUNT(Сауалнама!$W$2:$W$41)*100,1),"")</f>
        <v/>
      </c>
      <c r="D46" s="4">
        <f>IFERROR(ROUND(COUNTIF(Сауалнама!$X$2:$X$41,1)/COUNT(Сауалнама!$X$2:$X$41)*100,1),"")</f>
        <v/>
      </c>
    </row>
    <row r="47">
      <c r="A47" s="5" t="inlineStr">
        <is>
          <t>Алтыбақан</t>
        </is>
      </c>
      <c r="B47" s="4">
        <f>IFERROR(ROUND(COUNTIF(Сауалнама!$Y$2:$Y$41,"&gt;=1")/COUNT(Сауалнама!$Y$2:$Y$41)*100,1),"")</f>
        <v/>
      </c>
      <c r="C47" s="4">
        <f>IFERROR(ROUND(COUNTIF(Сауалнама!$Y$2:$Y$41,2)/COUNT(Сауалнама!$Y$2:$Y$41)*100,1),"")</f>
        <v/>
      </c>
      <c r="D47" s="4">
        <f>IFERROR(ROUND(COUNTIF(Сауалнама!$Z$2:$Z$41,1)/COUNT(Сауалнама!$Z$2:$Z$41)*100,1),"")</f>
        <v/>
      </c>
    </row>
  </sheetData>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2026-10-03T11:19:13Z</dcterms:created>
  <dcterms:modified xmlns:dcterms="http://purl.org/dc/terms/" xmlns:xsi="http://www.w3.org/2001/XMLSchema-instance" xsi:type="dcterms:W3CDTF">2026-10-03T11:19:13Z</dcterms:modified>
</cp:coreProperties>
</file>