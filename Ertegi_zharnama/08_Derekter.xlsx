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ауалнама" sheetId="1" state="visible" r:id="rId1"/>
    <sheet name="Слоган және плакат" sheetId="2" state="visible" r:id="rId2"/>
    <sheet name="Дейін-кейін" sheetId="3" state="visible" r:id="rId3"/>
    <sheet name="Диаграммала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FFF2A8"/>
      </patternFill>
    </fill>
    <fill>
      <patternFill patternType="solid">
        <fgColor rgb="00E7EEF5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2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1-диаграмма. «Ер Төстік» ертегісін қалай білесің?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'Сауалнама'!$B$11:$B$14</f>
            </numRef>
          </cat>
          <val>
            <numRef>
              <f>'Сауалнама'!$D$11:$D$14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2-диаграмма. «Ер Төстікті оқығың келе ме?» (оқушы саны)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'Дейін-кейін'!G12</f>
            </strRef>
          </tx>
          <spPr>
            <a:ln>
              <a:prstDash val="solid"/>
            </a:ln>
          </spPr>
          <cat>
            <numRef>
              <f>'Дейін-кейін'!$F$13:$F$17</f>
            </numRef>
          </cat>
          <val>
            <numRef>
              <f>'Дейін-кейін'!$G$13:$G$17</f>
            </numRef>
          </val>
        </ser>
        <ser>
          <idx val="1"/>
          <order val="1"/>
          <tx>
            <strRef>
              <f>'Дейін-кейін'!H12</f>
            </strRef>
          </tx>
          <spPr>
            <a:ln>
              <a:prstDash val="solid"/>
            </a:ln>
          </spPr>
          <cat>
            <numRef>
              <f>'Дейін-кейін'!$F$13:$F$17</f>
            </numRef>
          </cat>
          <val>
            <numRef>
              <f>'Дейін-кейін'!$H$13:$H$17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Балл (1 – мүлдем келмейді, 5 – өте қатты келеді)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Оқушы саны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1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22</row>
      <rowOff>0</rowOff>
    </from>
    <ext cx="61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8" customWidth="1" min="1" max="1"/>
    <col width="30" customWidth="1" min="2" max="2"/>
    <col width="10" customWidth="1" min="3" max="3"/>
    <col width="10" customWidth="1" min="4" max="4"/>
  </cols>
  <sheetData>
    <row r="1">
      <c r="A1" s="1" t="inlineStr">
        <is>
          <t>Сауалнама нәтижелері (жұмыстағы 5-кесте)</t>
        </is>
      </c>
    </row>
    <row r="2">
      <c r="A2" t="inlineStr">
        <is>
          <t>Сары ұяшықтарға ғана сан жаз. Пайыздар өзі есептеледі.</t>
        </is>
      </c>
    </row>
    <row r="3">
      <c r="A3" s="2" t="inlineStr">
        <is>
          <t>Барлық қатысушы саны:</t>
        </is>
      </c>
      <c r="C3" s="3" t="n"/>
    </row>
    <row r="5">
      <c r="A5" s="4" t="inlineStr">
        <is>
          <t>Сұрақ</t>
        </is>
      </c>
      <c r="B5" s="4" t="inlineStr">
        <is>
          <t>Жауап</t>
        </is>
      </c>
      <c r="C5" s="4" t="inlineStr">
        <is>
          <t>Саны</t>
        </is>
      </c>
      <c r="D5" s="4" t="inlineStr">
        <is>
          <t>%</t>
        </is>
      </c>
    </row>
    <row r="6">
      <c r="A6" s="5" t="inlineStr">
        <is>
          <t>1. Қазақ ертегілерін оқығанды ұнатасың ба?</t>
        </is>
      </c>
      <c r="B6" s="5" t="inlineStr">
        <is>
          <t>Иә</t>
        </is>
      </c>
      <c r="C6" s="3" t="n"/>
      <c r="D6" s="5">
        <f>IF(OR($C$3="",C6=""),"",ROUND(C6/$C$3*100,0))</f>
        <v/>
      </c>
    </row>
    <row r="7">
      <c r="A7" s="5" t="n"/>
      <c r="B7" s="5" t="inlineStr">
        <is>
          <t>Кейде</t>
        </is>
      </c>
      <c r="C7" s="3" t="n"/>
      <c r="D7" s="5">
        <f>IF(OR($C$3="",C7=""),"",ROUND(C7/$C$3*100,0))</f>
        <v/>
      </c>
    </row>
    <row r="8">
      <c r="A8" s="5" t="n"/>
      <c r="B8" s="5" t="inlineStr">
        <is>
          <t>Жоқ</t>
        </is>
      </c>
      <c r="C8" s="3" t="n"/>
      <c r="D8" s="5">
        <f>IF(OR($C$3="",C8=""),"",ROUND(C8/$C$3*100,0))</f>
        <v/>
      </c>
    </row>
    <row r="9">
      <c r="A9" s="5" t="inlineStr">
        <is>
          <t>2. Соңғы бір айда кітаптан ертегі оқыдың ба?</t>
        </is>
      </c>
      <c r="B9" s="5" t="inlineStr">
        <is>
          <t>Иә</t>
        </is>
      </c>
      <c r="C9" s="3" t="n"/>
      <c r="D9" s="5">
        <f>IF(OR($C$3="",C9=""),"",ROUND(C9/$C$3*100,0))</f>
        <v/>
      </c>
    </row>
    <row r="10">
      <c r="A10" s="5" t="n"/>
      <c r="B10" s="5" t="inlineStr">
        <is>
          <t>Жоқ</t>
        </is>
      </c>
      <c r="C10" s="3" t="n"/>
      <c r="D10" s="5">
        <f>IF(OR($C$3="",C10=""),"",ROUND(C10/$C$3*100,0))</f>
        <v/>
      </c>
    </row>
    <row r="11">
      <c r="A11" s="5" t="inlineStr">
        <is>
          <t>3. «Ер Төстік» ертегісін қалай білесің?</t>
        </is>
      </c>
      <c r="B11" s="5" t="inlineStr">
        <is>
          <t>Кітаптан оқыдым</t>
        </is>
      </c>
      <c r="C11" s="3" t="n"/>
      <c r="D11" s="5">
        <f>IF(OR($C$3="",C11=""),"",ROUND(C11/$C$3*100,0))</f>
        <v/>
      </c>
    </row>
    <row r="12">
      <c r="A12" s="5" t="n"/>
      <c r="B12" s="5" t="inlineStr">
        <is>
          <t>Мультфильмін көрдім</t>
        </is>
      </c>
      <c r="C12" s="3" t="n"/>
      <c r="D12" s="5">
        <f>IF(OR($C$3="",C12=""),"",ROUND(C12/$C$3*100,0))</f>
        <v/>
      </c>
    </row>
    <row r="13">
      <c r="A13" s="5" t="n"/>
      <c r="B13" s="5" t="inlineStr">
        <is>
          <t>Атын ғана естідім</t>
        </is>
      </c>
      <c r="C13" s="3" t="n"/>
      <c r="D13" s="5">
        <f>IF(OR($C$3="",C13=""),"",ROUND(C13/$C$3*100,0))</f>
        <v/>
      </c>
    </row>
    <row r="14">
      <c r="A14" s="5" t="n"/>
      <c r="B14" s="5" t="inlineStr">
        <is>
          <t>Білмеймін</t>
        </is>
      </c>
      <c r="C14" s="3" t="n"/>
      <c r="D14" s="5">
        <f>IF(OR($C$3="",C14=""),"",ROUND(C14/$C$3*100,0))</f>
        <v/>
      </c>
    </row>
    <row r="15">
      <c r="A15" s="5" t="inlineStr">
        <is>
          <t>4. Кітапты оқуға сені не қызықтырады? (бірнешеуі)</t>
        </is>
      </c>
      <c r="B15" s="5" t="inlineStr">
        <is>
          <t>Мұқабасы мен суреті</t>
        </is>
      </c>
      <c r="C15" s="3" t="n"/>
      <c r="D15" s="5">
        <f>IF(OR($C$3="",C15=""),"",ROUND(C15/$C$3*100,0))</f>
        <v/>
      </c>
    </row>
    <row r="16">
      <c r="A16" s="5" t="n"/>
      <c r="B16" s="5" t="inlineStr">
        <is>
          <t>Досымның кеңесі</t>
        </is>
      </c>
      <c r="C16" s="3" t="n"/>
      <c r="D16" s="5">
        <f>IF(OR($C$3="",C16=""),"",ROUND(C16/$C$3*100,0))</f>
        <v/>
      </c>
    </row>
    <row r="17">
      <c r="A17" s="5" t="n"/>
      <c r="B17" s="5" t="inlineStr">
        <is>
          <t>Мультфильм немесе бейне</t>
        </is>
      </c>
      <c r="C17" s="3" t="n"/>
      <c r="D17" s="5">
        <f>IF(OR($C$3="",C17=""),"",ROUND(C17/$C$3*100,0))</f>
        <v/>
      </c>
    </row>
    <row r="18">
      <c r="A18" s="5" t="n"/>
      <c r="B18" s="5" t="inlineStr">
        <is>
          <t>Мұғалімнің тапсырмасы</t>
        </is>
      </c>
      <c r="C18" s="3" t="n"/>
      <c r="D18" s="5">
        <f>IF(OR($C$3="",C18=""),"",ROUND(C18/$C$3*100,0))</f>
        <v/>
      </c>
    </row>
    <row r="19">
      <c r="A19" s="5" t="inlineStr">
        <is>
          <t>5. Жарнаманы көбіне қай жерден көресің?</t>
        </is>
      </c>
      <c r="B19" s="5" t="inlineStr">
        <is>
          <t>Телефоннан</t>
        </is>
      </c>
      <c r="C19" s="3" t="n"/>
      <c r="D19" s="5">
        <f>IF(OR($C$3="",C19=""),"",ROUND(C19/$C$3*100,0))</f>
        <v/>
      </c>
    </row>
    <row r="20">
      <c r="A20" s="5" t="n"/>
      <c r="B20" s="5" t="inlineStr">
        <is>
          <t>Теледидардан</t>
        </is>
      </c>
      <c r="C20" s="3" t="n"/>
      <c r="D20" s="5">
        <f>IF(OR($C$3="",C20=""),"",ROUND(C20/$C$3*100,0))</f>
        <v/>
      </c>
    </row>
    <row r="21">
      <c r="A21" s="5" t="n"/>
      <c r="B21" s="5" t="inlineStr">
        <is>
          <t>Көшедегі плакаттан</t>
        </is>
      </c>
      <c r="C21" s="3" t="n"/>
      <c r="D21" s="5">
        <f>IF(OR($C$3="",C21=""),"",ROUND(C21/$C$3*100,0))</f>
        <v/>
      </c>
    </row>
    <row r="22">
      <c r="A22" s="5" t="n"/>
      <c r="B22" s="5" t="inlineStr">
        <is>
          <t>Мектептегі хабарландырудан</t>
        </is>
      </c>
      <c r="C22" s="3" t="n"/>
      <c r="D22" s="5">
        <f>IF(OR($C$3="",C22=""),"",ROUND(C22/$C$3*100,0))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</cols>
  <sheetData>
    <row r="1">
      <c r="A1" s="1" t="inlineStr">
        <is>
          <t>Слогандар (4-кесте) және плакаттарды салыстыру (6-кесте)</t>
        </is>
      </c>
    </row>
    <row r="3">
      <c r="A3" s="4" t="inlineStr">
        <is>
          <t>Слоган</t>
        </is>
      </c>
      <c r="B3" s="4" t="inlineStr">
        <is>
          <t>Таңдағандар саны</t>
        </is>
      </c>
      <c r="C3" s="4" t="inlineStr">
        <is>
          <t>%</t>
        </is>
      </c>
    </row>
    <row r="4">
      <c r="A4" s="5" t="inlineStr">
        <is>
          <t>«Жер астына түсіп, жеңіп шыққан батыр – Ер Төстік!»</t>
        </is>
      </c>
      <c r="B4" s="3" t="n"/>
      <c r="C4" s="5">
        <f>IF(OR(B4="",$B$8=0),"",ROUND(B4/$B$8*100,0))</f>
        <v/>
      </c>
    </row>
    <row r="5">
      <c r="A5" s="5" t="inlineStr">
        <is>
          <t>«Шалқұйрық шапса – ертегі басталады!»</t>
        </is>
      </c>
      <c r="B5" s="3" t="n"/>
      <c r="C5" s="5">
        <f>IF(OR(B5="",$B$8=0),"",ROUND(B5/$B$8*100,0))</f>
        <v/>
      </c>
    </row>
    <row r="6">
      <c r="A6" s="5" t="inlineStr">
        <is>
          <t>«Бір кітап – мың шытырман оқиға!»</t>
        </is>
      </c>
      <c r="B6" s="3" t="n"/>
      <c r="C6" s="5">
        <f>IF(OR(B6="",$B$8=0),"",ROUND(B6/$B$8*100,0))</f>
        <v/>
      </c>
    </row>
    <row r="7">
      <c r="A7" s="5" t="inlineStr">
        <is>
          <t>«Ер Төстік – оқы да, батыр бол!»</t>
        </is>
      </c>
      <c r="B7" s="3" t="n"/>
      <c r="C7" s="5">
        <f>IF(OR(B7="",$B$8=0),"",ROUND(B7/$B$8*100,0))</f>
        <v/>
      </c>
    </row>
    <row r="8">
      <c r="A8" s="6" t="inlineStr">
        <is>
          <t>Барлығы</t>
        </is>
      </c>
      <c r="B8" s="5">
        <f>SUM(B4:B7)</f>
        <v/>
      </c>
      <c r="C8" s="5" t="n"/>
    </row>
    <row r="9"/>
    <row r="10"/>
    <row r="11">
      <c r="A11" s="4" t="inlineStr">
        <is>
          <t>Көрсеткіш</t>
        </is>
      </c>
      <c r="B11" s="4" t="inlineStr">
        <is>
          <t>А плакаты</t>
        </is>
      </c>
      <c r="C11" s="4" t="inlineStr">
        <is>
          <t>Б плакаты</t>
        </is>
      </c>
    </row>
    <row r="12">
      <c r="A12" s="5" t="inlineStr">
        <is>
          <t>«Оқығым келеді» деп таңдағандар саны</t>
        </is>
      </c>
      <c r="B12" s="3" t="n"/>
      <c r="C12" s="3" t="n"/>
    </row>
    <row r="13">
      <c r="A13" s="5" t="inlineStr">
        <is>
          <t>Сол, %</t>
        </is>
      </c>
      <c r="B13" s="5">
        <f>IF(SUM(B12:C12)=0,"",ROUND(B12/SUM(B12:C12)*100,0))</f>
        <v/>
      </c>
      <c r="C13" s="5">
        <f>IF(SUM(B12:C12)=0,"",ROUND(C12/SUM(B12:C12)*100,0))</f>
        <v/>
      </c>
    </row>
    <row r="14">
      <c r="A14" s="5" t="inlineStr">
        <is>
          <t>10 минуттан кейін кейіпкердің атын есте сақтағандар</t>
        </is>
      </c>
      <c r="B14" s="3" t="n"/>
      <c r="C14" s="3" t="n"/>
    </row>
    <row r="15">
      <c r="A15" s="5" t="inlineStr">
        <is>
          <t>10 минуттан кейін ертегінің атын есте сақтағандар</t>
        </is>
      </c>
      <c r="B15" s="3" t="n"/>
      <c r="C15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" customWidth="1" min="5" max="5"/>
    <col width="32" customWidth="1" min="6" max="6"/>
    <col width="18" customWidth="1" min="7" max="7"/>
    <col width="18" customWidth="1" min="8" max="8"/>
  </cols>
  <sheetData>
    <row r="1">
      <c r="A1" s="1" t="inlineStr">
        <is>
          <t>«Ер Төстікті оқығың келе ме?» (1–5 балл) – 7-кесте</t>
        </is>
      </c>
    </row>
    <row r="2">
      <c r="A2" t="inlineStr">
        <is>
          <t>Әр оқушының балын өз жолына жаз (аты-жөні жазылмайды, тек нөмір). Бір аптадан кейін оқыса – 1, оқымаса – 0.</t>
        </is>
      </c>
    </row>
    <row r="4">
      <c r="A4" s="4" t="inlineStr">
        <is>
          <t>Парақ №</t>
        </is>
      </c>
      <c r="B4" s="4" t="inlineStr">
        <is>
          <t>Дейін (1–5)</t>
        </is>
      </c>
      <c r="C4" s="4" t="inlineStr">
        <is>
          <t>Кейін (1–5)</t>
        </is>
      </c>
      <c r="D4" s="4" t="inlineStr">
        <is>
          <t>Бір аптада оқыды (1/0)</t>
        </is>
      </c>
      <c r="F4" s="7" t="inlineStr">
        <is>
          <t>Көрсеткіш</t>
        </is>
      </c>
      <c r="G4" s="7" t="inlineStr">
        <is>
          <t>Дейін</t>
        </is>
      </c>
      <c r="H4" s="7" t="inlineStr">
        <is>
          <t>Кейін</t>
        </is>
      </c>
    </row>
    <row r="5">
      <c r="A5" t="n">
        <v>1</v>
      </c>
      <c r="B5" s="8" t="n"/>
      <c r="C5" s="8" t="n"/>
      <c r="D5" s="8" t="n"/>
      <c r="F5" t="inlineStr">
        <is>
          <t>Қатысушылар саны</t>
        </is>
      </c>
      <c r="G5">
        <f>COUNT(B5:B39)</f>
        <v/>
      </c>
      <c r="H5">
        <f>COUNT(C5:C39)</f>
        <v/>
      </c>
    </row>
    <row r="6">
      <c r="A6" t="n">
        <v>2</v>
      </c>
      <c r="B6" s="8" t="n"/>
      <c r="C6" s="8" t="n"/>
      <c r="D6" s="8" t="n"/>
      <c r="F6" t="inlineStr">
        <is>
          <t>Орташа балл</t>
        </is>
      </c>
      <c r="G6">
        <f>IF(COUNT(B5:B39)=0,"",ROUND(AVERAGE(B5:B39),2))</f>
        <v/>
      </c>
      <c r="H6">
        <f>IF(COUNT(C5:C39)=0,"",ROUND(AVERAGE(C5:C39),2))</f>
        <v/>
      </c>
    </row>
    <row r="7">
      <c r="A7" t="n">
        <v>3</v>
      </c>
      <c r="B7" s="8" t="n"/>
      <c r="C7" s="8" t="n"/>
      <c r="D7" s="8" t="n"/>
      <c r="F7" t="inlineStr">
        <is>
          <t>«5» қойғандар саны</t>
        </is>
      </c>
      <c r="G7">
        <f>COUNTIF(B5:B39,5)</f>
        <v/>
      </c>
      <c r="H7">
        <f>COUNTIF(C5:C39,5)</f>
        <v/>
      </c>
    </row>
    <row r="8">
      <c r="A8" t="n">
        <v>4</v>
      </c>
      <c r="B8" s="8" t="n"/>
      <c r="C8" s="8" t="n"/>
      <c r="D8" s="8" t="n"/>
      <c r="F8" t="inlineStr">
        <is>
          <t>«4» немесе «5» қойғандар, %</t>
        </is>
      </c>
      <c r="G8">
        <f>IF(COUNT(B5:B39)=0,"",ROUND((COUNTIF(B5:B39,4)+COUNTIF(B5:B39,5))/COUNT(B5:B39)*100,0))</f>
        <v/>
      </c>
      <c r="H8">
        <f>IF(COUNT(C5:C39)=0,"",ROUND((COUNTIF(C5:C39,4)+COUNTIF(C5:C39,5))/COUNT(C5:C39)*100,0))</f>
        <v/>
      </c>
    </row>
    <row r="9">
      <c r="A9" t="n">
        <v>5</v>
      </c>
      <c r="B9" s="8" t="n"/>
      <c r="C9" s="8" t="n"/>
      <c r="D9" s="8" t="n"/>
      <c r="F9" t="inlineStr">
        <is>
          <t>Бір аптада оқығандар саны</t>
        </is>
      </c>
      <c r="H9">
        <f>SUM(D5:D39)</f>
        <v/>
      </c>
    </row>
    <row r="10">
      <c r="A10" t="n">
        <v>6</v>
      </c>
      <c r="B10" s="8" t="n"/>
      <c r="C10" s="8" t="n"/>
      <c r="D10" s="8" t="n"/>
    </row>
    <row r="11">
      <c r="A11" t="n">
        <v>7</v>
      </c>
      <c r="B11" s="8" t="n"/>
      <c r="C11" s="8" t="n"/>
      <c r="D11" s="8" t="n"/>
    </row>
    <row r="12">
      <c r="A12" t="n">
        <v>8</v>
      </c>
      <c r="B12" s="8" t="n"/>
      <c r="C12" s="8" t="n"/>
      <c r="D12" s="8" t="n"/>
      <c r="F12" s="7" t="inlineStr">
        <is>
          <t>Балл</t>
        </is>
      </c>
      <c r="G12" s="7" t="inlineStr">
        <is>
          <t>Дейін (оқушы саны)</t>
        </is>
      </c>
      <c r="H12" s="7" t="inlineStr">
        <is>
          <t>Кейін (оқушы саны)</t>
        </is>
      </c>
    </row>
    <row r="13">
      <c r="A13" t="n">
        <v>9</v>
      </c>
      <c r="B13" s="8" t="n"/>
      <c r="C13" s="8" t="n"/>
      <c r="D13" s="8" t="n"/>
      <c r="F13" t="inlineStr">
        <is>
          <t>1</t>
        </is>
      </c>
      <c r="G13">
        <f>COUNTIF(B5:B39,1)</f>
        <v/>
      </c>
      <c r="H13">
        <f>COUNTIF(C5:C39,1)</f>
        <v/>
      </c>
    </row>
    <row r="14">
      <c r="A14" t="n">
        <v>10</v>
      </c>
      <c r="B14" s="8" t="n"/>
      <c r="C14" s="8" t="n"/>
      <c r="D14" s="8" t="n"/>
      <c r="F14" t="inlineStr">
        <is>
          <t>2</t>
        </is>
      </c>
      <c r="G14">
        <f>COUNTIF(B5:B39,2)</f>
        <v/>
      </c>
      <c r="H14">
        <f>COUNTIF(C5:C39,2)</f>
        <v/>
      </c>
    </row>
    <row r="15">
      <c r="A15" t="n">
        <v>11</v>
      </c>
      <c r="B15" s="8" t="n"/>
      <c r="C15" s="8" t="n"/>
      <c r="D15" s="8" t="n"/>
      <c r="F15" t="inlineStr">
        <is>
          <t>3</t>
        </is>
      </c>
      <c r="G15">
        <f>COUNTIF(B5:B39,3)</f>
        <v/>
      </c>
      <c r="H15">
        <f>COUNTIF(C5:C39,3)</f>
        <v/>
      </c>
    </row>
    <row r="16">
      <c r="A16" t="n">
        <v>12</v>
      </c>
      <c r="B16" s="8" t="n"/>
      <c r="C16" s="8" t="n"/>
      <c r="D16" s="8" t="n"/>
      <c r="F16" t="inlineStr">
        <is>
          <t>4</t>
        </is>
      </c>
      <c r="G16">
        <f>COUNTIF(B5:B39,4)</f>
        <v/>
      </c>
      <c r="H16">
        <f>COUNTIF(C5:C39,4)</f>
        <v/>
      </c>
    </row>
    <row r="17">
      <c r="A17" t="n">
        <v>13</v>
      </c>
      <c r="B17" s="8" t="n"/>
      <c r="C17" s="8" t="n"/>
      <c r="D17" s="8" t="n"/>
      <c r="F17" t="inlineStr">
        <is>
          <t>5</t>
        </is>
      </c>
      <c r="G17">
        <f>COUNTIF(B5:B39,5)</f>
        <v/>
      </c>
      <c r="H17">
        <f>COUNTIF(C5:C39,5)</f>
        <v/>
      </c>
    </row>
    <row r="18">
      <c r="A18" t="n">
        <v>14</v>
      </c>
      <c r="B18" s="8" t="n"/>
      <c r="C18" s="8" t="n"/>
      <c r="D18" s="8" t="n"/>
    </row>
    <row r="19">
      <c r="A19" t="n">
        <v>15</v>
      </c>
      <c r="B19" s="8" t="n"/>
      <c r="C19" s="8" t="n"/>
      <c r="D19" s="8" t="n"/>
    </row>
    <row r="20">
      <c r="A20" t="n">
        <v>16</v>
      </c>
      <c r="B20" s="8" t="n"/>
      <c r="C20" s="8" t="n"/>
      <c r="D20" s="8" t="n"/>
    </row>
    <row r="21">
      <c r="A21" t="n">
        <v>17</v>
      </c>
      <c r="B21" s="8" t="n"/>
      <c r="C21" s="8" t="n"/>
      <c r="D21" s="8" t="n"/>
    </row>
    <row r="22">
      <c r="A22" t="n">
        <v>18</v>
      </c>
      <c r="B22" s="8" t="n"/>
      <c r="C22" s="8" t="n"/>
      <c r="D22" s="8" t="n"/>
    </row>
    <row r="23">
      <c r="A23" t="n">
        <v>19</v>
      </c>
      <c r="B23" s="8" t="n"/>
      <c r="C23" s="8" t="n"/>
      <c r="D23" s="8" t="n"/>
    </row>
    <row r="24">
      <c r="A24" t="n">
        <v>20</v>
      </c>
      <c r="B24" s="8" t="n"/>
      <c r="C24" s="8" t="n"/>
      <c r="D24" s="8" t="n"/>
    </row>
    <row r="25">
      <c r="A25" t="n">
        <v>21</v>
      </c>
      <c r="B25" s="8" t="n"/>
      <c r="C25" s="8" t="n"/>
      <c r="D25" s="8" t="n"/>
    </row>
    <row r="26">
      <c r="A26" t="n">
        <v>22</v>
      </c>
      <c r="B26" s="8" t="n"/>
      <c r="C26" s="8" t="n"/>
      <c r="D26" s="8" t="n"/>
    </row>
    <row r="27">
      <c r="A27" t="n">
        <v>23</v>
      </c>
      <c r="B27" s="8" t="n"/>
      <c r="C27" s="8" t="n"/>
      <c r="D27" s="8" t="n"/>
    </row>
    <row r="28">
      <c r="A28" t="n">
        <v>24</v>
      </c>
      <c r="B28" s="8" t="n"/>
      <c r="C28" s="8" t="n"/>
      <c r="D28" s="8" t="n"/>
    </row>
    <row r="29">
      <c r="A29" t="n">
        <v>25</v>
      </c>
      <c r="B29" s="8" t="n"/>
      <c r="C29" s="8" t="n"/>
      <c r="D29" s="8" t="n"/>
    </row>
    <row r="30">
      <c r="A30" t="n">
        <v>26</v>
      </c>
      <c r="B30" s="8" t="n"/>
      <c r="C30" s="8" t="n"/>
      <c r="D30" s="8" t="n"/>
    </row>
    <row r="31">
      <c r="A31" t="n">
        <v>27</v>
      </c>
      <c r="B31" s="8" t="n"/>
      <c r="C31" s="8" t="n"/>
      <c r="D31" s="8" t="n"/>
    </row>
    <row r="32">
      <c r="A32" t="n">
        <v>28</v>
      </c>
      <c r="B32" s="8" t="n"/>
      <c r="C32" s="8" t="n"/>
      <c r="D32" s="8" t="n"/>
    </row>
    <row r="33">
      <c r="A33" t="n">
        <v>29</v>
      </c>
      <c r="B33" s="8" t="n"/>
      <c r="C33" s="8" t="n"/>
      <c r="D33" s="8" t="n"/>
    </row>
    <row r="34">
      <c r="A34" t="n">
        <v>30</v>
      </c>
      <c r="B34" s="8" t="n"/>
      <c r="C34" s="8" t="n"/>
      <c r="D34" s="8" t="n"/>
    </row>
    <row r="35">
      <c r="A35" t="n">
        <v>31</v>
      </c>
      <c r="B35" s="8" t="n"/>
      <c r="C35" s="8" t="n"/>
      <c r="D35" s="8" t="n"/>
    </row>
    <row r="36">
      <c r="A36" t="n">
        <v>32</v>
      </c>
      <c r="B36" s="8" t="n"/>
      <c r="C36" s="8" t="n"/>
      <c r="D36" s="8" t="n"/>
    </row>
    <row r="37">
      <c r="A37" t="n">
        <v>33</v>
      </c>
      <c r="B37" s="8" t="n"/>
      <c r="C37" s="8" t="n"/>
      <c r="D37" s="8" t="n"/>
    </row>
    <row r="38">
      <c r="A38" t="n">
        <v>34</v>
      </c>
      <c r="B38" s="8" t="n"/>
      <c r="C38" s="8" t="n"/>
      <c r="D38" s="8" t="n"/>
    </row>
    <row r="39">
      <c r="A39" t="n">
        <v>35</v>
      </c>
      <c r="B39" s="8" t="n"/>
      <c r="C39" s="8" t="n"/>
      <c r="D39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Диаграммалар өзі жаңарады. Тінтуірдің оң жағымен басып, «Көшіру» → Word құжатына қой.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2026-09-27T07:55:36Z</dcterms:created>
  <dcterms:modified xsi:type="dcterms:W3CDTF">2026-09-27T07:55:36Z</dcterms:modified>
</cp:coreProperties>
</file>