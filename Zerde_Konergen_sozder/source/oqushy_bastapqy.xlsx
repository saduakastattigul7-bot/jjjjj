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0" yWindow="490" windowWidth="18880" windowHeight="8740" activeTab="3"/>
  </bookViews>
  <sheets>
    <sheet name="Нұсқау" sheetId="1" r:id="rId1"/>
    <sheet name="Сөздер" sheetId="2" r:id="rId2"/>
    <sheet name="БАҚ мониторингі" sheetId="4" r:id="rId3"/>
    <sheet name="Тест" sheetId="5" r:id="rId4"/>
    <sheet name="Қорытынды" sheetId="6" r:id="rId5"/>
  </sheets>
  <calcPr calcId="145621"/>
</workbook>
</file>

<file path=xl/calcChain.xml><?xml version="1.0" encoding="utf-8"?>
<calcChain xmlns="http://schemas.openxmlformats.org/spreadsheetml/2006/main">
  <c r="B33" i="6" l="1"/>
  <c r="B32" i="6"/>
  <c r="B31" i="6"/>
  <c r="B30" i="6"/>
  <c r="B29" i="6"/>
  <c r="B28" i="6"/>
  <c r="D24" i="6"/>
  <c r="C24" i="6"/>
  <c r="B24" i="6"/>
  <c r="D23" i="6"/>
  <c r="C23" i="6"/>
  <c r="B23" i="6"/>
  <c r="D22" i="6"/>
  <c r="C22" i="6"/>
  <c r="B22" i="6"/>
  <c r="D21" i="6"/>
  <c r="C21" i="6"/>
  <c r="B21" i="6"/>
  <c r="D20" i="6"/>
  <c r="C20" i="6"/>
  <c r="B20" i="6"/>
  <c r="D19" i="6"/>
  <c r="C19" i="6"/>
  <c r="B19" i="6"/>
  <c r="D18" i="6"/>
  <c r="C18" i="6"/>
  <c r="B18" i="6"/>
  <c r="D17" i="6"/>
  <c r="C17" i="6"/>
  <c r="B17" i="6"/>
  <c r="D16" i="6"/>
  <c r="C16" i="6"/>
  <c r="B16" i="6"/>
  <c r="D15" i="6"/>
  <c r="C15" i="6"/>
  <c r="B15" i="6"/>
  <c r="D14" i="6"/>
  <c r="C14" i="6"/>
  <c r="B14" i="6"/>
  <c r="D13" i="6"/>
  <c r="C13" i="6"/>
  <c r="B13" i="6"/>
  <c r="D5" i="6" l="1"/>
  <c r="B7" i="6"/>
  <c r="E4" i="6"/>
  <c r="E6" i="6"/>
  <c r="E8" i="6"/>
  <c r="E3" i="6"/>
  <c r="B4" i="6"/>
  <c r="E5" i="6"/>
  <c r="C7" i="6"/>
  <c r="C4" i="6"/>
  <c r="D7" i="6"/>
  <c r="D4" i="6"/>
  <c r="B6" i="6"/>
  <c r="E7" i="6"/>
  <c r="B3" i="6"/>
  <c r="C6" i="6"/>
  <c r="C3" i="6"/>
  <c r="D6" i="6"/>
  <c r="B8" i="6"/>
  <c r="F8" i="6" s="1"/>
  <c r="D3" i="6"/>
  <c r="B5" i="6"/>
  <c r="C8" i="6"/>
  <c r="C5" i="6"/>
  <c r="D8" i="6"/>
  <c r="F7" i="6" l="1"/>
  <c r="F4" i="6"/>
  <c r="E9" i="6"/>
  <c r="F5" i="6"/>
  <c r="F6" i="6"/>
  <c r="D9" i="6"/>
  <c r="C9" i="6"/>
  <c r="F3" i="6"/>
  <c r="B9" i="6"/>
  <c r="F9" i="6" l="1"/>
</calcChain>
</file>

<file path=xl/sharedStrings.xml><?xml version="1.0" encoding="utf-8"?>
<sst xmlns="http://schemas.openxmlformats.org/spreadsheetml/2006/main" count="403" uniqueCount="206">
  <si>
    <t>ЗЕРТТЕУ КЕСТЕСІН ТОЛТЫРУ НҰСҚАУЫ</t>
  </si>
  <si>
    <t>Сары ұяшықтарды ғана толтырыңыз. «Мәртебе» бағаны мен «Қорытынды» парағы өздігінен есептеледі.</t>
  </si>
  <si>
    <t>1-КЕЗЕҢ. Сөздікпен тексеру («Сөздер» парағы)</t>
  </si>
  <si>
    <t>2. Томы мен бетін көрсетіңіз. Сөздікті кітапханадан немесе sozdikqor.kz сайтынан қарауға болады.</t>
  </si>
  <si>
    <t>2-КЕЗЕҢ. БАҚ мониторингі («БАҚ мониторингі» парағы)</t>
  </si>
  <si>
    <t>3. Google іздеу жолына: site:egemen.kz "сауыт" деп жазыңыз. «Құралдар» → «Кез келген уақыт» → «Соңғы жыл» таңдаңыз. Шыққан нәтиже санын жазыңыз (мысалы, «Шамамен 45 нәтиже» болса – 45). Нәтиже жоқ болса – 0.</t>
  </si>
  <si>
    <t>4. Дәл солай site:kaz.tengrinews.kz үшін де іздеңіз. Барлық сөзді бір-екі күн ішінде тексеріңіз, күнін жазыңыз.</t>
  </si>
  <si>
    <t>5. Ең жаңа мақаланы ашып, сөз тұрған сөйлемді көшіріп алыңыз және сілтемесін жазыңыз. Сөйлемнің мәнмәтінін бір кодпен белгілеңіз:</t>
  </si>
  <si>
    <t xml:space="preserve">     Ж – Жаңа мағынада: Сөз бүгінгі өмірдегі нәрсені атайды: «Мемлекет басшысының Жарлығы», «аудан әкімі»</t>
  </si>
  <si>
    <t xml:space="preserve">     А – Атау ішінде: Сөз ұйымның, дүкеннің, жобаның, марапаттың не команданың атауында тұр: «Тұлпар» клубы</t>
  </si>
  <si>
    <t xml:space="preserve">     Т – Тарихи-мәдени мәтінде: Сөз тарих, мұражай, әдебиет, этнография туралы мақалада өз мағынасында қолданылған</t>
  </si>
  <si>
    <t xml:space="preserve">     Б – Бейнелі мағынада: Сөз ауыспалы мағынада қолданылған: «білім – сауыт», «ой тұлпары»</t>
  </si>
  <si>
    <t>3-КЕЗЕҢ. Лингвистикалық серуен («Серуен» парағы)</t>
  </si>
  <si>
    <t>6. Ересек адаммен бірге қаланың (ауылдың) 2–3 көшесін, базарды не сауда орталығын аралаңыз. Маңдайшаларды, көше атауларын, жарнамаларды қараңыз.</t>
  </si>
  <si>
    <t>7. Көне сөз кездескен әр жазуды суретке түсіріңіз (тек жазуды, адамдардың бетін және көлік нөмірлерін түсірмеңіз) және кестеге бір жол етіп жазыңыз.</t>
  </si>
  <si>
    <t>8. Тізімде жоқ көне сөз кездессе, «басқа» деп таңдап, сөзді келесі бағанға жазыңыз.</t>
  </si>
  <si>
    <t>4-КЕЗЕҢ. Үш буынға сөз тану тесті («Тест» парағы)</t>
  </si>
  <si>
    <t>9. Әр буыннан 6 адам: оқушылар, ата-аналар, ата-әжелер. Келісімін алыңыз (оқушылар үшін – ата-анасының келісімі). Есімдерін жазбаңыз – тек код.</t>
  </si>
  <si>
    <t>10. Әр сөзді атап: «Бұл сөздің мағынасы қандай?» деп сұраңыз. 2 – дұрыс түсіндірді, 1 – шамамен түсіндірді, 0 – білмейді. Сөздің мағынасын айтып, көмектеспеңіз.</t>
  </si>
  <si>
    <t>11. Сосын: «Бұл сөзді соңғы бір жылда естідіңіз бе немесе өзіңіз қолдандыңыз ба?» деп сұраңыз: 1 – иә, 0 – жоқ.</t>
  </si>
  <si>
    <t>МӘРТЕБЕ ЕРЕЖЕСІ (жетекшіммен келісілген)</t>
  </si>
  <si>
    <t>Ұ – екі сайттағы нәтиже саны 5-тен аз және көшеде кездеспесе; Ж – әйтпесе, мысалдың біреуі «Ж» болса; А – мысал «А» болса немесе көшеде кездессе; Т – қалған жағдайда.</t>
  </si>
  <si>
    <t>№</t>
  </si>
  <si>
    <t>Сөз</t>
  </si>
  <si>
    <t>Тақырыптық топ</t>
  </si>
  <si>
    <t>Түрі (алдын ала)</t>
  </si>
  <si>
    <t>Мағынасы</t>
  </si>
  <si>
    <t>Сөздіктегі белгі</t>
  </si>
  <si>
    <t>сауыт</t>
  </si>
  <si>
    <t>Әскери іс және қару-жарақ</t>
  </si>
  <si>
    <t>Тарихи сөз</t>
  </si>
  <si>
    <t>темір сақиналардан тоқылған қорғаныс киімі</t>
  </si>
  <si>
    <t>дулыға</t>
  </si>
  <si>
    <t>садақ</t>
  </si>
  <si>
    <t>қорамсақ</t>
  </si>
  <si>
    <t>сарбаз</t>
  </si>
  <si>
    <t>Архаизм</t>
  </si>
  <si>
    <t>жауынгер, әскери адам</t>
  </si>
  <si>
    <t>жасақ</t>
  </si>
  <si>
    <t>болыс</t>
  </si>
  <si>
    <t>Билік және басқару</t>
  </si>
  <si>
    <t>ауылнай</t>
  </si>
  <si>
    <t>уәзір</t>
  </si>
  <si>
    <t>әкім</t>
  </si>
  <si>
    <t>құрылтай</t>
  </si>
  <si>
    <t>ел ісін шешетін үлкен жиын</t>
  </si>
  <si>
    <t>елші</t>
  </si>
  <si>
    <t>бір елден екінші елге жіберілген өкіл</t>
  </si>
  <si>
    <t>жарлық</t>
  </si>
  <si>
    <t>Қоғам, заң, құжат</t>
  </si>
  <si>
    <t>мәжіліс</t>
  </si>
  <si>
    <t>жиналыс, кеңес</t>
  </si>
  <si>
    <t>кеден</t>
  </si>
  <si>
    <t>шекарада тауардан баж алатын орын</t>
  </si>
  <si>
    <t>ұлық</t>
  </si>
  <si>
    <t>пәрмен</t>
  </si>
  <si>
    <t>бұйрық, үкім</t>
  </si>
  <si>
    <t>жәдігер</t>
  </si>
  <si>
    <t>өткеннен қалған зат, ескерткіш</t>
  </si>
  <si>
    <t>теңге</t>
  </si>
  <si>
    <t>Өлшем және ақша</t>
  </si>
  <si>
    <t>күміс ақша</t>
  </si>
  <si>
    <t>тиын</t>
  </si>
  <si>
    <t>ұсақ ақша</t>
  </si>
  <si>
    <t>пұт</t>
  </si>
  <si>
    <t>16 килограмға жуық салмақ өлшемі</t>
  </si>
  <si>
    <t>батпан</t>
  </si>
  <si>
    <t>құлаш</t>
  </si>
  <si>
    <t>екі қолды жайғандағы ұзындық өлшемі</t>
  </si>
  <si>
    <t>шақырым</t>
  </si>
  <si>
    <t>шамамен бір километрге тең қашықтық</t>
  </si>
  <si>
    <t>сәукеле</t>
  </si>
  <si>
    <t>Киім және тұрмыс</t>
  </si>
  <si>
    <t>қалыңдықтың биік, сәнді бас киімі</t>
  </si>
  <si>
    <t>кимешек</t>
  </si>
  <si>
    <t>үлкен кісі әйелдің ақ матадан тігілген бас киімі</t>
  </si>
  <si>
    <t>шекпен</t>
  </si>
  <si>
    <t>түйе жүнінен тоқылған сырт киім</t>
  </si>
  <si>
    <t>кебенек</t>
  </si>
  <si>
    <t>киізден тігілген, жаңбыр өткізбейтін шапан</t>
  </si>
  <si>
    <t>кебеже</t>
  </si>
  <si>
    <t>ыдыс-аяқ пен тамақ салатын ағаш сандық</t>
  </si>
  <si>
    <t>саба</t>
  </si>
  <si>
    <t>қымыз ашытатын теріден жасалған ыдыс</t>
  </si>
  <si>
    <t>ләшкер</t>
  </si>
  <si>
    <t>Баламасы бар көне сөздер</t>
  </si>
  <si>
    <t>әскер</t>
  </si>
  <si>
    <t>тамұқ</t>
  </si>
  <si>
    <t>тозақ</t>
  </si>
  <si>
    <t>мейман</t>
  </si>
  <si>
    <t>қонақ</t>
  </si>
  <si>
    <t>ділмар</t>
  </si>
  <si>
    <t>сөзге шебер, шешен</t>
  </si>
  <si>
    <t>нөкер</t>
  </si>
  <si>
    <t>серік, қызметші</t>
  </si>
  <si>
    <t>тұлпар</t>
  </si>
  <si>
    <t>жүйрік ат</t>
  </si>
  <si>
    <t>басқа</t>
  </si>
  <si>
    <t>Нысан түрі</t>
  </si>
  <si>
    <t>egemen.kz: нәтиже саны</t>
  </si>
  <si>
    <t>egemen.kz: мәнмәтін (код)</t>
  </si>
  <si>
    <t>Ең жаңа мысал (сөйлем)</t>
  </si>
  <si>
    <t>Сілтеме</t>
  </si>
  <si>
    <t>Тексерген күні</t>
  </si>
  <si>
    <t>Код</t>
  </si>
  <si>
    <t>Буын</t>
  </si>
  <si>
    <t>сауыт: білу (0/1/2)</t>
  </si>
  <si>
    <t>сауыт: естиді (1/0)</t>
  </si>
  <si>
    <t>сарбаз: білу (0/1/2)</t>
  </si>
  <si>
    <t>сарбаз: естиді (1/0)</t>
  </si>
  <si>
    <t>болыс: білу (0/1/2)</t>
  </si>
  <si>
    <t>болыс: естиді (1/0)</t>
  </si>
  <si>
    <t>әкім: білу (0/1/2)</t>
  </si>
  <si>
    <t>әкім: естиді (1/0)</t>
  </si>
  <si>
    <t>жарлық: білу (0/1/2)</t>
  </si>
  <si>
    <t>жарлық: естиді (1/0)</t>
  </si>
  <si>
    <t>пәрмен: білу (0/1/2)</t>
  </si>
  <si>
    <t>пәрмен: естиді (1/0)</t>
  </si>
  <si>
    <t>батпан: білу (0/1/2)</t>
  </si>
  <si>
    <t>батпан: естиді (1/0)</t>
  </si>
  <si>
    <t>тиын: білу (0/1/2)</t>
  </si>
  <si>
    <t>тиын: естиді (1/0)</t>
  </si>
  <si>
    <t>кебенек: білу (0/1/2)</t>
  </si>
  <si>
    <t>кебенек: естиді (1/0)</t>
  </si>
  <si>
    <t>сәукеле: білу (0/1/2)</t>
  </si>
  <si>
    <t>сәукеле: естиді (1/0)</t>
  </si>
  <si>
    <t>тамұқ: білу (0/1/2)</t>
  </si>
  <si>
    <t>тамұқ: естиді (1/0)</t>
  </si>
  <si>
    <t>тұлпар: білу (0/1/2)</t>
  </si>
  <si>
    <t>тұлпар: естиді (1/0)</t>
  </si>
  <si>
    <t>О01</t>
  </si>
  <si>
    <t>Оқушылар (11–14 жас)</t>
  </si>
  <si>
    <t>О02</t>
  </si>
  <si>
    <t>О03</t>
  </si>
  <si>
    <t>О04</t>
  </si>
  <si>
    <t>О05</t>
  </si>
  <si>
    <t>О06</t>
  </si>
  <si>
    <t>Ә01</t>
  </si>
  <si>
    <t>Ата-аналар (30–55 жас)</t>
  </si>
  <si>
    <t>Ә02</t>
  </si>
  <si>
    <t>Ә03</t>
  </si>
  <si>
    <t>Ә04</t>
  </si>
  <si>
    <t>Ә05</t>
  </si>
  <si>
    <t>Ә06</t>
  </si>
  <si>
    <t>Ү01</t>
  </si>
  <si>
    <t>Ата-әжелер (60 жастан асқан)</t>
  </si>
  <si>
    <t>Ү02</t>
  </si>
  <si>
    <t>Ү03</t>
  </si>
  <si>
    <t>Ү04</t>
  </si>
  <si>
    <t>Ү05</t>
  </si>
  <si>
    <t>Ү06</t>
  </si>
  <si>
    <t>Сөздердің мәртебесі тақырыптық топтар бойынша</t>
  </si>
  <si>
    <t>Топ</t>
  </si>
  <si>
    <t>Қайта жанданған</t>
  </si>
  <si>
    <t>Атауда сақталған</t>
  </si>
  <si>
    <t>Тарихи мәтінде ғана</t>
  </si>
  <si>
    <t>Ұмыт болып барады</t>
  </si>
  <si>
    <t>Барлығы</t>
  </si>
  <si>
    <t>Үш буын тесті: мағынасын дұрыс түсіндіргендер үлесі, %</t>
  </si>
  <si>
    <t>Лингвистикалық серуен: нысан түрлері</t>
  </si>
  <si>
    <t>Жазу саны</t>
  </si>
  <si>
    <t>Дүкен, сауда орны</t>
  </si>
  <si>
    <t>Кафе, мейрамхана</t>
  </si>
  <si>
    <t>Мекеме, ұйым</t>
  </si>
  <si>
    <t>Көше, аялдама</t>
  </si>
  <si>
    <t>Жарнама, баннер</t>
  </si>
  <si>
    <t>Басқа</t>
  </si>
  <si>
    <t>көн.</t>
  </si>
  <si>
    <t>белгі жоқ</t>
  </si>
  <si>
    <t>Тобылғы, үйеңкі т.б. ағаш шыбықтарынан доғаша иіп, екі ұшын қайыспен керіп жасаған жебе атуға арналған қол қаруы</t>
  </si>
  <si>
    <t>12-том</t>
  </si>
  <si>
    <t>13-том</t>
  </si>
  <si>
    <t>5-том</t>
  </si>
  <si>
    <t>Садақ, жай оқтарын (жебесін) салып жүруге арналған, оқ салатын қалта, оқшантай.</t>
  </si>
  <si>
    <t>10-том</t>
  </si>
  <si>
    <t>Томы</t>
  </si>
  <si>
    <t>Соғысқа шыққан батырлардың басына киетін темірден, жезден жасалған баскиім.</t>
  </si>
  <si>
    <t xml:space="preserve">Тайпа көсемінің, ханның төңірегінде топтасқан жауынгерлердің жалпы атауы. </t>
  </si>
  <si>
    <t>6-том</t>
  </si>
  <si>
    <t>тар.</t>
  </si>
  <si>
    <t>3-том</t>
  </si>
  <si>
    <t>Патшалық Ресей қол астындағы Қазақстанның аумақтық әкімшілік бөлігі</t>
  </si>
  <si>
    <t>XX ғ. басында қазақ ауылдарында басқару мәселелерін шешумен және жер бөлінісімен айналысқан жергілікті билік иесі, Қазақстандағы патшалық Ресей билігінің ең төменгі қызметіндегі адам.</t>
  </si>
  <si>
    <t>2-том</t>
  </si>
  <si>
    <t>Кейбір шығыс елдерінің ел билеуші ханының немесе патшасының ақылшысы, кеңесшісі; лауазым аты.</t>
  </si>
  <si>
    <t>14-том</t>
  </si>
  <si>
    <t>Елге билік жүргізші, ел басқарушы</t>
  </si>
  <si>
    <t>Орта ғасырлардағы түркі мемлекеттеріндегі ханның немесе әскер басыларының бұйрығы.</t>
  </si>
  <si>
    <t>11-том</t>
  </si>
  <si>
    <t>7-том</t>
  </si>
  <si>
    <t>Ертеректегі қазақ қоғамындағы ел билеуші әлеуметтік топ өкілі.</t>
  </si>
  <si>
    <t>1. Әр сөзді «Қазақ әдеби тілінің сөздігінен» (15 томдық) тауып, оның жанындағы белгіні жазыңыз: «көн.» (көнерген), «тар.» (тарихи), белгі жоқ немесе сөздікте жоқ. Қазақ әдеби тілінің сөздігі. Он бес томдық. 5-том. / Құраст.: Б.Әбілқасымов, С.Бизақов, Ә.Жүнісбеков және т.б. – Алматы, 2011. -752 б.</t>
  </si>
  <si>
    <t xml:space="preserve">Салмағы 4 пен 16, кейде 12 пұтқа дейінгі ауырлықты білдіретін өлшем атауы. </t>
  </si>
  <si>
    <t>жарты шақырым</t>
  </si>
  <si>
    <t>8-том</t>
  </si>
  <si>
    <t>сөздікте жоқ</t>
  </si>
  <si>
    <t>Т</t>
  </si>
  <si>
    <t>Батыс Қазақстан облыстық тарихи-өлкетану мұражайында «Атадан қалған ақ сауыт» атты ұлттық қару-жарақ көрмесі ашылды.</t>
  </si>
  <si>
    <t>https://egemen.kz/news/article413410-atadan-qalghan-aq-sauyt</t>
  </si>
  <si>
    <t>А</t>
  </si>
  <si>
    <t xml:space="preserve">7-8 ақпан аралығында Франция астанасы Парижде дзюдодан Үлкен дулыға санатындағы 2026 жылдың алғашқы жарысы өтеді. </t>
  </si>
  <si>
    <t>https://egemen.kz/news/article405388-paridgdegi-ulken-dulygha-turnirinde-el-namysyn-kimder-qorghaydy</t>
  </si>
  <si>
    <t xml:space="preserve">Жапонияның Аичи және Нагоя қалаларында өтіп жатқан 2026 жылғы Азия ойындарында отандық спортшылардың 26 қыркүйектегі жарыс кестесі белгілі болды, деп хабарлайды Egemen.kz.
</t>
  </si>
  <si>
    <t>https://egemen.kz/news/aziya-oyyndary-26-qyrkuyekte-zharys-zholyna-shygatyn-sportshylardyn-kestesi</t>
  </si>
  <si>
    <t xml:space="preserve">Ұлы даланың батыс қиырындағы өңірлердің археологиялық картасын жасақтау 1989 жылы басталған еді. </t>
  </si>
  <si>
    <t>https://egemen.kz/news/araltobedegi-muzey-ekspozitsiya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</si>
</sst>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name val="Calibri"/>
    </font>
    <font>
      <sz val="11"/>
      <name val="Calibri"/>
    </font>
    <font>
      <b/>
      <sz val="11"/>
      <name val="Calibri"/>
    </font>
    <font>
      <u/>
      <sz val="11"/>
      <color theme="10"/>
      <name val="Calibri"/>
      <family val="2"/>
      <scheme val="minor"/>
    </font>
  </fonts>
  <fills count="4">
    <fill>
      <patternFill patternType="none"/>
    </fill>
    <fill>
      <patternFill patternType="gray125"/>
    </fill>
    <fill>
      <patternFill patternType="solid">
        <fgColor rgb="FFDCE6F1"/>
      </patternFill>
    </fill>
    <fill>
      <patternFill patternType="solid">
        <fgColor rgb="FFFFF2C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horizontal="center" vertical="center" wrapText="1"/>
    </xf>
    <xf numFmtId="0" fontId="0" fillId="3" borderId="1" xfId="0" applyFill="1" applyBorder="1" applyAlignment="1">
      <alignment vertical="top" wrapText="1"/>
    </xf>
    <xf numFmtId="0" fontId="3" fillId="0" borderId="0" xfId="0" applyFont="1"/>
    <xf numFmtId="0" fontId="3" fillId="0" borderId="1" xfId="0" applyFont="1" applyBorder="1" applyAlignment="1">
      <alignment vertical="top" wrapText="1"/>
    </xf>
    <xf numFmtId="0" fontId="4" fillId="3" borderId="1" xfId="1" applyFill="1" applyBorder="1" applyAlignment="1">
      <alignment vertical="top" wrapText="1"/>
    </xf>
    <xf numFmtId="16" fontId="0" fillId="3" borderId="1" xfId="0" applyNumberFormat="1" applyFill="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Сөздердің бүгінгі мәртебесі</a:t>
            </a:r>
          </a:p>
        </c:rich>
      </c:tx>
      <c:layout/>
      <c:overlay val="1"/>
    </c:title>
    <c:autoTitleDeleted val="0"/>
    <c:plotArea>
      <c:layout/>
      <c:barChart>
        <c:barDir val="bar"/>
        <c:grouping val="stacked"/>
        <c:varyColors val="1"/>
        <c:ser>
          <c:idx val="0"/>
          <c:order val="0"/>
          <c:tx>
            <c:strRef>
              <c:f>Қорытынды!$B$2</c:f>
              <c:strCache>
                <c:ptCount val="1"/>
                <c:pt idx="0">
                  <c:v>Қайта жанданған</c:v>
                </c:pt>
              </c:strCache>
            </c:strRef>
          </c:tx>
          <c:spPr>
            <a:ln>
              <a:prstDash val="solid"/>
            </a:ln>
          </c:spPr>
          <c:invertIfNegative val="1"/>
          <c:cat>
            <c:strRef>
              <c:f>Қорытынды!$A$3:$A$8</c:f>
              <c:strCache>
                <c:ptCount val="6"/>
                <c:pt idx="0">
                  <c:v>Әскери іс және қару-жарақ</c:v>
                </c:pt>
                <c:pt idx="1">
                  <c:v>Билік және басқару</c:v>
                </c:pt>
                <c:pt idx="2">
                  <c:v>Қоғам, заң, құжат</c:v>
                </c:pt>
                <c:pt idx="3">
                  <c:v>Өлшем және ақша</c:v>
                </c:pt>
                <c:pt idx="4">
                  <c:v>Киім және тұрмыс</c:v>
                </c:pt>
                <c:pt idx="5">
                  <c:v>Баламасы бар көне сөздер</c:v>
                </c:pt>
              </c:strCache>
            </c:strRef>
          </c:cat>
          <c:val>
            <c:numRef>
              <c:f>Қорытынды!$B$3:$B$8</c:f>
              <c:numCache>
                <c:formatCode>General</c:formatCode>
                <c:ptCount val="6"/>
                <c:pt idx="0">
                  <c:v>0</c:v>
                </c:pt>
                <c:pt idx="1">
                  <c:v>0</c:v>
                </c:pt>
                <c:pt idx="2">
                  <c:v>0</c:v>
                </c:pt>
                <c:pt idx="3">
                  <c:v>0</c:v>
                </c:pt>
                <c:pt idx="4">
                  <c:v>0</c:v>
                </c:pt>
                <c:pt idx="5">
                  <c:v>0</c:v>
                </c:pt>
              </c:numCache>
            </c:numRef>
          </c:val>
        </c:ser>
        <c:ser>
          <c:idx val="1"/>
          <c:order val="1"/>
          <c:tx>
            <c:strRef>
              <c:f>Қорытынды!$C$2</c:f>
              <c:strCache>
                <c:ptCount val="1"/>
                <c:pt idx="0">
                  <c:v>Атауда сақталған</c:v>
                </c:pt>
              </c:strCache>
            </c:strRef>
          </c:tx>
          <c:spPr>
            <a:ln>
              <a:prstDash val="solid"/>
            </a:ln>
          </c:spPr>
          <c:invertIfNegative val="1"/>
          <c:cat>
            <c:strRef>
              <c:f>Қорытынды!$A$3:$A$8</c:f>
              <c:strCache>
                <c:ptCount val="6"/>
                <c:pt idx="0">
                  <c:v>Әскери іс және қару-жарақ</c:v>
                </c:pt>
                <c:pt idx="1">
                  <c:v>Билік және басқару</c:v>
                </c:pt>
                <c:pt idx="2">
                  <c:v>Қоғам, заң, құжат</c:v>
                </c:pt>
                <c:pt idx="3">
                  <c:v>Өлшем және ақша</c:v>
                </c:pt>
                <c:pt idx="4">
                  <c:v>Киім және тұрмыс</c:v>
                </c:pt>
                <c:pt idx="5">
                  <c:v>Баламасы бар көне сөздер</c:v>
                </c:pt>
              </c:strCache>
            </c:strRef>
          </c:cat>
          <c:val>
            <c:numRef>
              <c:f>Қорытынды!$C$3:$C$8</c:f>
              <c:numCache>
                <c:formatCode>General</c:formatCode>
                <c:ptCount val="6"/>
                <c:pt idx="0">
                  <c:v>0</c:v>
                </c:pt>
                <c:pt idx="1">
                  <c:v>0</c:v>
                </c:pt>
                <c:pt idx="2">
                  <c:v>0</c:v>
                </c:pt>
                <c:pt idx="3">
                  <c:v>0</c:v>
                </c:pt>
                <c:pt idx="4">
                  <c:v>0</c:v>
                </c:pt>
                <c:pt idx="5">
                  <c:v>0</c:v>
                </c:pt>
              </c:numCache>
            </c:numRef>
          </c:val>
        </c:ser>
        <c:ser>
          <c:idx val="2"/>
          <c:order val="2"/>
          <c:tx>
            <c:strRef>
              <c:f>Қорытынды!$D$2</c:f>
              <c:strCache>
                <c:ptCount val="1"/>
                <c:pt idx="0">
                  <c:v>Тарихи мәтінде ғана</c:v>
                </c:pt>
              </c:strCache>
            </c:strRef>
          </c:tx>
          <c:spPr>
            <a:ln>
              <a:prstDash val="solid"/>
            </a:ln>
          </c:spPr>
          <c:invertIfNegative val="1"/>
          <c:cat>
            <c:strRef>
              <c:f>Қорытынды!$A$3:$A$8</c:f>
              <c:strCache>
                <c:ptCount val="6"/>
                <c:pt idx="0">
                  <c:v>Әскери іс және қару-жарақ</c:v>
                </c:pt>
                <c:pt idx="1">
                  <c:v>Билік және басқару</c:v>
                </c:pt>
                <c:pt idx="2">
                  <c:v>Қоғам, заң, құжат</c:v>
                </c:pt>
                <c:pt idx="3">
                  <c:v>Өлшем және ақша</c:v>
                </c:pt>
                <c:pt idx="4">
                  <c:v>Киім және тұрмыс</c:v>
                </c:pt>
                <c:pt idx="5">
                  <c:v>Баламасы бар көне сөздер</c:v>
                </c:pt>
              </c:strCache>
            </c:strRef>
          </c:cat>
          <c:val>
            <c:numRef>
              <c:f>Қорытынды!$D$3:$D$8</c:f>
              <c:numCache>
                <c:formatCode>General</c:formatCode>
                <c:ptCount val="6"/>
                <c:pt idx="0">
                  <c:v>0</c:v>
                </c:pt>
                <c:pt idx="1">
                  <c:v>0</c:v>
                </c:pt>
                <c:pt idx="2">
                  <c:v>0</c:v>
                </c:pt>
                <c:pt idx="3">
                  <c:v>0</c:v>
                </c:pt>
                <c:pt idx="4">
                  <c:v>0</c:v>
                </c:pt>
                <c:pt idx="5">
                  <c:v>0</c:v>
                </c:pt>
              </c:numCache>
            </c:numRef>
          </c:val>
        </c:ser>
        <c:ser>
          <c:idx val="3"/>
          <c:order val="3"/>
          <c:tx>
            <c:strRef>
              <c:f>Қорытынды!$E$2</c:f>
              <c:strCache>
                <c:ptCount val="1"/>
                <c:pt idx="0">
                  <c:v>Ұмыт болып барады</c:v>
                </c:pt>
              </c:strCache>
            </c:strRef>
          </c:tx>
          <c:spPr>
            <a:ln>
              <a:prstDash val="solid"/>
            </a:ln>
          </c:spPr>
          <c:invertIfNegative val="1"/>
          <c:cat>
            <c:strRef>
              <c:f>Қорытынды!$A$3:$A$8</c:f>
              <c:strCache>
                <c:ptCount val="6"/>
                <c:pt idx="0">
                  <c:v>Әскери іс және қару-жарақ</c:v>
                </c:pt>
                <c:pt idx="1">
                  <c:v>Билік және басқару</c:v>
                </c:pt>
                <c:pt idx="2">
                  <c:v>Қоғам, заң, құжат</c:v>
                </c:pt>
                <c:pt idx="3">
                  <c:v>Өлшем және ақша</c:v>
                </c:pt>
                <c:pt idx="4">
                  <c:v>Киім және тұрмыс</c:v>
                </c:pt>
                <c:pt idx="5">
                  <c:v>Баламасы бар көне сөздер</c:v>
                </c:pt>
              </c:strCache>
            </c:strRef>
          </c:cat>
          <c:val>
            <c:numRef>
              <c:f>Қорытынды!$E$3:$E$8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150"/>
        <c:overlap val="100"/>
        <c:axId val="127852032"/>
        <c:axId val="77886528"/>
      </c:barChart>
      <c:catAx>
        <c:axId val="127852032"/>
        <c:scaling>
          <c:orientation val="minMax"/>
        </c:scaling>
        <c:delete val="1"/>
        <c:axPos val="l"/>
        <c:majorTickMark val="none"/>
        <c:minorTickMark val="none"/>
        <c:tickLblPos val="nextTo"/>
        <c:crossAx val="77886528"/>
        <c:crosses val="autoZero"/>
        <c:auto val="1"/>
        <c:lblAlgn val="ctr"/>
        <c:lblOffset val="100"/>
        <c:noMultiLvlLbl val="1"/>
      </c:catAx>
      <c:valAx>
        <c:axId val="77886528"/>
        <c:scaling>
          <c:orientation val="minMax"/>
        </c:scaling>
        <c:delete val="1"/>
        <c:axPos val="b"/>
        <c:majorGridlines/>
        <c:numFmt formatCode="General" sourceLinked="1"/>
        <c:majorTickMark val="none"/>
        <c:minorTickMark val="none"/>
        <c:tickLblPos val="nextTo"/>
        <c:crossAx val="127852032"/>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1"/>
  <c:style val="2"/>
  <c:chart>
    <c:title>
      <c:tx>
        <c:rich>
          <a:bodyPr/>
          <a:lstStyle/>
          <a:p>
            <a:pPr>
              <a:defRPr/>
            </a:pPr>
            <a:r>
              <a:rPr lang="ru-RU"/>
              <a:t>Сөзді дұрыс түсіндіргендер, %</a:t>
            </a:r>
          </a:p>
        </c:rich>
      </c:tx>
      <c:layout/>
      <c:overlay val="1"/>
    </c:title>
    <c:autoTitleDeleted val="0"/>
    <c:plotArea>
      <c:layout/>
      <c:barChart>
        <c:barDir val="col"/>
        <c:grouping val="clustered"/>
        <c:varyColors val="1"/>
        <c:ser>
          <c:idx val="0"/>
          <c:order val="0"/>
          <c:tx>
            <c:strRef>
              <c:f>Қорытынды!$B$12</c:f>
              <c:strCache>
                <c:ptCount val="1"/>
                <c:pt idx="0">
                  <c:v>Оқушылар (11–14 жас)</c:v>
                </c:pt>
              </c:strCache>
            </c:strRef>
          </c:tx>
          <c:spPr>
            <a:ln>
              <a:prstDash val="solid"/>
            </a:ln>
          </c:spPr>
          <c:invertIfNegative val="1"/>
          <c:cat>
            <c:strRef>
              <c:f>Қорытынды!$A$13:$A$24</c:f>
              <c:strCache>
                <c:ptCount val="12"/>
                <c:pt idx="0">
                  <c:v>сауыт</c:v>
                </c:pt>
                <c:pt idx="1">
                  <c:v>сарбаз</c:v>
                </c:pt>
                <c:pt idx="2">
                  <c:v>болыс</c:v>
                </c:pt>
                <c:pt idx="3">
                  <c:v>әкім</c:v>
                </c:pt>
                <c:pt idx="4">
                  <c:v>жарлық</c:v>
                </c:pt>
                <c:pt idx="5">
                  <c:v>пәрмен</c:v>
                </c:pt>
                <c:pt idx="6">
                  <c:v>батпан</c:v>
                </c:pt>
                <c:pt idx="7">
                  <c:v>тиын</c:v>
                </c:pt>
                <c:pt idx="8">
                  <c:v>кебенек</c:v>
                </c:pt>
                <c:pt idx="9">
                  <c:v>сәукеле</c:v>
                </c:pt>
                <c:pt idx="10">
                  <c:v>тамұқ</c:v>
                </c:pt>
                <c:pt idx="11">
                  <c:v>тұлпар</c:v>
                </c:pt>
              </c:strCache>
            </c:strRef>
          </c:cat>
          <c:val>
            <c:numRef>
              <c:f>Қорытынды!$B$13:$B$24</c:f>
              <c:numCache>
                <c:formatCode>General</c:formatCode>
                <c:ptCount val="12"/>
                <c:pt idx="0">
                  <c:v>33.299999999999997</c:v>
                </c:pt>
                <c:pt idx="1">
                  <c:v>100</c:v>
                </c:pt>
                <c:pt idx="2">
                  <c:v>0</c:v>
                </c:pt>
                <c:pt idx="3">
                  <c:v>66.7</c:v>
                </c:pt>
                <c:pt idx="4">
                  <c:v>25</c:v>
                </c:pt>
                <c:pt idx="5">
                  <c:v>33.299999999999997</c:v>
                </c:pt>
                <c:pt idx="6">
                  <c:v>0</c:v>
                </c:pt>
                <c:pt idx="7">
                  <c:v>100</c:v>
                </c:pt>
                <c:pt idx="8">
                  <c:v>0</c:v>
                </c:pt>
                <c:pt idx="9">
                  <c:v>75</c:v>
                </c:pt>
                <c:pt idx="10">
                  <c:v>0</c:v>
                </c:pt>
                <c:pt idx="11">
                  <c:v>100</c:v>
                </c:pt>
              </c:numCache>
            </c:numRef>
          </c:val>
        </c:ser>
        <c:ser>
          <c:idx val="1"/>
          <c:order val="1"/>
          <c:tx>
            <c:strRef>
              <c:f>Қорытынды!$C$12</c:f>
              <c:strCache>
                <c:ptCount val="1"/>
                <c:pt idx="0">
                  <c:v>Ата-аналар (30–55 жас)</c:v>
                </c:pt>
              </c:strCache>
            </c:strRef>
          </c:tx>
          <c:spPr>
            <a:ln>
              <a:prstDash val="solid"/>
            </a:ln>
          </c:spPr>
          <c:invertIfNegative val="1"/>
          <c:cat>
            <c:strRef>
              <c:f>Қорытынды!$A$13:$A$24</c:f>
              <c:strCache>
                <c:ptCount val="12"/>
                <c:pt idx="0">
                  <c:v>сауыт</c:v>
                </c:pt>
                <c:pt idx="1">
                  <c:v>сарбаз</c:v>
                </c:pt>
                <c:pt idx="2">
                  <c:v>болыс</c:v>
                </c:pt>
                <c:pt idx="3">
                  <c:v>әкім</c:v>
                </c:pt>
                <c:pt idx="4">
                  <c:v>жарлық</c:v>
                </c:pt>
                <c:pt idx="5">
                  <c:v>пәрмен</c:v>
                </c:pt>
                <c:pt idx="6">
                  <c:v>батпан</c:v>
                </c:pt>
                <c:pt idx="7">
                  <c:v>тиын</c:v>
                </c:pt>
                <c:pt idx="8">
                  <c:v>кебенек</c:v>
                </c:pt>
                <c:pt idx="9">
                  <c:v>сәукеле</c:v>
                </c:pt>
                <c:pt idx="10">
                  <c:v>тамұқ</c:v>
                </c:pt>
                <c:pt idx="11">
                  <c:v>тұлпар</c:v>
                </c:pt>
              </c:strCache>
            </c:strRef>
          </c:cat>
          <c:val>
            <c:numRef>
              <c:f>Қорытынды!$C$13:$C$24</c:f>
              <c:numCache>
                <c:formatCode>General</c:formatCode>
                <c:ptCount val="12"/>
                <c:pt idx="0">
                  <c:v>100</c:v>
                </c:pt>
                <c:pt idx="1">
                  <c:v>100</c:v>
                </c:pt>
                <c:pt idx="2">
                  <c:v>100</c:v>
                </c:pt>
                <c:pt idx="3">
                  <c:v>0</c:v>
                </c:pt>
                <c:pt idx="4">
                  <c:v>0</c:v>
                </c:pt>
                <c:pt idx="5">
                  <c:v>100</c:v>
                </c:pt>
                <c:pt idx="6">
                  <c:v>100</c:v>
                </c:pt>
                <c:pt idx="7">
                  <c:v>100</c:v>
                </c:pt>
                <c:pt idx="8">
                  <c:v>100</c:v>
                </c:pt>
                <c:pt idx="9">
                  <c:v>100</c:v>
                </c:pt>
                <c:pt idx="10">
                  <c:v>0</c:v>
                </c:pt>
                <c:pt idx="11">
                  <c:v>100</c:v>
                </c:pt>
              </c:numCache>
            </c:numRef>
          </c:val>
        </c:ser>
        <c:ser>
          <c:idx val="2"/>
          <c:order val="2"/>
          <c:tx>
            <c:strRef>
              <c:f>Қорытынды!$D$12</c:f>
              <c:strCache>
                <c:ptCount val="1"/>
                <c:pt idx="0">
                  <c:v>Ата-әжелер (60 жастан асқан)</c:v>
                </c:pt>
              </c:strCache>
            </c:strRef>
          </c:tx>
          <c:spPr>
            <a:ln>
              <a:prstDash val="solid"/>
            </a:ln>
          </c:spPr>
          <c:invertIfNegative val="1"/>
          <c:cat>
            <c:strRef>
              <c:f>Қорытынды!$A$13:$A$24</c:f>
              <c:strCache>
                <c:ptCount val="12"/>
                <c:pt idx="0">
                  <c:v>сауыт</c:v>
                </c:pt>
                <c:pt idx="1">
                  <c:v>сарбаз</c:v>
                </c:pt>
                <c:pt idx="2">
                  <c:v>болыс</c:v>
                </c:pt>
                <c:pt idx="3">
                  <c:v>әкім</c:v>
                </c:pt>
                <c:pt idx="4">
                  <c:v>жарлық</c:v>
                </c:pt>
                <c:pt idx="5">
                  <c:v>пәрмен</c:v>
                </c:pt>
                <c:pt idx="6">
                  <c:v>батпан</c:v>
                </c:pt>
                <c:pt idx="7">
                  <c:v>тиын</c:v>
                </c:pt>
                <c:pt idx="8">
                  <c:v>кебенек</c:v>
                </c:pt>
                <c:pt idx="9">
                  <c:v>сәукеле</c:v>
                </c:pt>
                <c:pt idx="10">
                  <c:v>тамұқ</c:v>
                </c:pt>
                <c:pt idx="11">
                  <c:v>тұлпар</c:v>
                </c:pt>
              </c:strCache>
            </c:strRef>
          </c:cat>
          <c:val>
            <c:numRef>
              <c:f>Қорытынды!$D$13:$D$24</c:f>
              <c:numCache>
                <c:formatCode>General</c:formatCode>
                <c:ptCount val="12"/>
                <c:pt idx="0">
                  <c:v>100</c:v>
                </c:pt>
                <c:pt idx="1">
                  <c:v>100</c:v>
                </c:pt>
                <c:pt idx="2">
                  <c:v>0</c:v>
                </c:pt>
                <c:pt idx="3">
                  <c:v>0</c:v>
                </c:pt>
                <c:pt idx="4">
                  <c:v>100</c:v>
                </c:pt>
                <c:pt idx="5">
                  <c:v>0</c:v>
                </c:pt>
                <c:pt idx="6">
                  <c:v>0</c:v>
                </c:pt>
                <c:pt idx="7">
                  <c:v>100</c:v>
                </c:pt>
                <c:pt idx="8">
                  <c:v>0</c:v>
                </c:pt>
                <c:pt idx="9">
                  <c:v>100</c:v>
                </c:pt>
                <c:pt idx="10">
                  <c:v>100</c:v>
                </c:pt>
                <c:pt idx="11">
                  <c:v>100</c:v>
                </c:pt>
              </c:numCache>
            </c:numRef>
          </c:val>
        </c:ser>
        <c:dLbls>
          <c:showLegendKey val="0"/>
          <c:showVal val="0"/>
          <c:showCatName val="0"/>
          <c:showSerName val="0"/>
          <c:showPercent val="0"/>
          <c:showBubbleSize val="0"/>
        </c:dLbls>
        <c:gapWidth val="150"/>
        <c:axId val="131376640"/>
        <c:axId val="77888832"/>
      </c:barChart>
      <c:catAx>
        <c:axId val="131376640"/>
        <c:scaling>
          <c:orientation val="minMax"/>
        </c:scaling>
        <c:delete val="1"/>
        <c:axPos val="b"/>
        <c:majorTickMark val="none"/>
        <c:minorTickMark val="none"/>
        <c:tickLblPos val="nextTo"/>
        <c:crossAx val="77888832"/>
        <c:crosses val="autoZero"/>
        <c:auto val="1"/>
        <c:lblAlgn val="ctr"/>
        <c:lblOffset val="100"/>
        <c:noMultiLvlLbl val="1"/>
      </c:catAx>
      <c:valAx>
        <c:axId val="77888832"/>
        <c:scaling>
          <c:orientation val="minMax"/>
        </c:scaling>
        <c:delete val="1"/>
        <c:axPos val="l"/>
        <c:majorGridlines/>
        <c:numFmt formatCode="General" sourceLinked="1"/>
        <c:majorTickMark val="none"/>
        <c:minorTickMark val="none"/>
        <c:tickLblPos val="nextTo"/>
        <c:crossAx val="131376640"/>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0</xdr:colOff>
      <xdr:row>0</xdr:row>
      <xdr:rowOff>0</xdr:rowOff>
    </xdr:from>
    <xdr:ext cx="6480000" cy="288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17</xdr:row>
      <xdr:rowOff>0</xdr:rowOff>
    </xdr:from>
    <xdr:ext cx="6480000" cy="288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egemen.kz/news/aziya-oyyndary-26-qyrkuyekte-zharys-zholyna-shygatyn-sportshylardyn-kestesi" TargetMode="External"/><Relationship Id="rId2" Type="http://schemas.openxmlformats.org/officeDocument/2006/relationships/hyperlink" Target="https://egemen.kz/news/article405388-paridgdegi-ulken-dulygha-turnirinde-el-namysyn-kimder-qorghaydy" TargetMode="External"/><Relationship Id="rId1" Type="http://schemas.openxmlformats.org/officeDocument/2006/relationships/hyperlink" Target="https://egemen.kz/news/article413410-atadan-qalghan-aq-sauyt" TargetMode="External"/><Relationship Id="rId4" Type="http://schemas.openxmlformats.org/officeDocument/2006/relationships/hyperlink" Target="https://egemen.kz/news/araltobedegi-muzey-ekspozitsiy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28"/>
  <sheetViews>
    <sheetView workbookViewId="0">
      <selection activeCell="A14" sqref="A14"/>
    </sheetView>
  </sheetViews>
  <sheetFormatPr defaultRowHeight="14.5" x14ac:dyDescent="0.35"/>
  <cols>
    <col min="1" max="1" width="120" customWidth="1"/>
  </cols>
  <sheetData>
    <row r="1" spans="1:1" ht="15.5" x14ac:dyDescent="0.35">
      <c r="A1" s="1" t="s">
        <v>0</v>
      </c>
    </row>
    <row r="2" spans="1:1" x14ac:dyDescent="0.35">
      <c r="A2" s="2" t="s">
        <v>1</v>
      </c>
    </row>
    <row r="3" spans="1:1" x14ac:dyDescent="0.35">
      <c r="A3" s="2"/>
    </row>
    <row r="4" spans="1:1" ht="15.5" x14ac:dyDescent="0.35">
      <c r="A4" s="1" t="s">
        <v>2</v>
      </c>
    </row>
    <row r="5" spans="1:1" ht="43.5" x14ac:dyDescent="0.35">
      <c r="A5" s="2" t="s">
        <v>191</v>
      </c>
    </row>
    <row r="6" spans="1:1" x14ac:dyDescent="0.35">
      <c r="A6" s="2" t="s">
        <v>3</v>
      </c>
    </row>
    <row r="7" spans="1:1" x14ac:dyDescent="0.35">
      <c r="A7" s="2"/>
    </row>
    <row r="8" spans="1:1" ht="15.5" x14ac:dyDescent="0.35">
      <c r="A8" s="1" t="s">
        <v>4</v>
      </c>
    </row>
    <row r="9" spans="1:1" ht="29" x14ac:dyDescent="0.35">
      <c r="A9" s="2" t="s">
        <v>5</v>
      </c>
    </row>
    <row r="10" spans="1:1" x14ac:dyDescent="0.35">
      <c r="A10" s="2" t="s">
        <v>6</v>
      </c>
    </row>
    <row r="11" spans="1:1" ht="29" x14ac:dyDescent="0.35">
      <c r="A11" s="2" t="s">
        <v>7</v>
      </c>
    </row>
    <row r="12" spans="1:1" x14ac:dyDescent="0.35">
      <c r="A12" s="2" t="s">
        <v>8</v>
      </c>
    </row>
    <row r="13" spans="1:1" x14ac:dyDescent="0.35">
      <c r="A13" s="2" t="s">
        <v>9</v>
      </c>
    </row>
    <row r="14" spans="1:1" x14ac:dyDescent="0.35">
      <c r="A14" s="2" t="s">
        <v>10</v>
      </c>
    </row>
    <row r="15" spans="1:1" x14ac:dyDescent="0.35">
      <c r="A15" s="2" t="s">
        <v>11</v>
      </c>
    </row>
    <row r="16" spans="1:1" x14ac:dyDescent="0.35">
      <c r="A16" s="2"/>
    </row>
    <row r="17" spans="1:1" ht="15.5" x14ac:dyDescent="0.35">
      <c r="A17" s="1" t="s">
        <v>12</v>
      </c>
    </row>
    <row r="18" spans="1:1" ht="29" x14ac:dyDescent="0.35">
      <c r="A18" s="2" t="s">
        <v>13</v>
      </c>
    </row>
    <row r="19" spans="1:1" ht="29" x14ac:dyDescent="0.35">
      <c r="A19" s="2" t="s">
        <v>14</v>
      </c>
    </row>
    <row r="20" spans="1:1" x14ac:dyDescent="0.35">
      <c r="A20" s="2" t="s">
        <v>15</v>
      </c>
    </row>
    <row r="21" spans="1:1" x14ac:dyDescent="0.35">
      <c r="A21" s="2"/>
    </row>
    <row r="22" spans="1:1" ht="15.5" x14ac:dyDescent="0.35">
      <c r="A22" s="1" t="s">
        <v>16</v>
      </c>
    </row>
    <row r="23" spans="1:1" ht="29" x14ac:dyDescent="0.35">
      <c r="A23" s="2" t="s">
        <v>17</v>
      </c>
    </row>
    <row r="24" spans="1:1" ht="29" x14ac:dyDescent="0.35">
      <c r="A24" s="2" t="s">
        <v>18</v>
      </c>
    </row>
    <row r="25" spans="1:1" x14ac:dyDescent="0.35">
      <c r="A25" s="2" t="s">
        <v>19</v>
      </c>
    </row>
    <row r="26" spans="1:1" x14ac:dyDescent="0.35">
      <c r="A26" s="2"/>
    </row>
    <row r="27" spans="1:1" ht="15.5" x14ac:dyDescent="0.35">
      <c r="A27" s="1" t="s">
        <v>20</v>
      </c>
    </row>
    <row r="28" spans="1:1" ht="29" x14ac:dyDescent="0.35">
      <c r="A28" s="2" t="s">
        <v>21</v>
      </c>
    </row>
  </sheetData>
  <pageMargins left="0.75" right="0.75" top="1" bottom="1"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8"/>
  <sheetViews>
    <sheetView workbookViewId="0">
      <pane xSplit="2" ySplit="1" topLeftCell="C12" activePane="bottomRight" state="frozen"/>
      <selection pane="topRight"/>
      <selection pane="bottomLeft"/>
      <selection pane="bottomRight" activeCell="F16" sqref="F16"/>
    </sheetView>
  </sheetViews>
  <sheetFormatPr defaultRowHeight="14.5" x14ac:dyDescent="0.35"/>
  <cols>
    <col min="1" max="1" width="5" customWidth="1"/>
    <col min="2" max="2" width="14" customWidth="1"/>
    <col min="3" max="3" width="26" customWidth="1"/>
    <col min="4" max="4" width="14" customWidth="1"/>
    <col min="5" max="5" width="57.26953125" customWidth="1"/>
    <col min="6" max="6" width="14" customWidth="1"/>
    <col min="7" max="7" width="10.36328125" customWidth="1"/>
  </cols>
  <sheetData>
    <row r="1" spans="1:7" ht="45" customHeight="1" x14ac:dyDescent="0.35">
      <c r="A1" s="3" t="s">
        <v>22</v>
      </c>
      <c r="B1" s="3" t="s">
        <v>23</v>
      </c>
      <c r="C1" s="3" t="s">
        <v>24</v>
      </c>
      <c r="D1" s="3" t="s">
        <v>25</v>
      </c>
      <c r="E1" s="3" t="s">
        <v>26</v>
      </c>
      <c r="F1" s="3" t="s">
        <v>27</v>
      </c>
      <c r="G1" s="3" t="s">
        <v>175</v>
      </c>
    </row>
    <row r="2" spans="1:7" x14ac:dyDescent="0.35">
      <c r="A2" s="4">
        <v>1</v>
      </c>
      <c r="B2" s="5" t="s">
        <v>28</v>
      </c>
      <c r="C2" s="5" t="s">
        <v>29</v>
      </c>
      <c r="D2" s="4" t="s">
        <v>30</v>
      </c>
      <c r="E2" s="5" t="s">
        <v>31</v>
      </c>
      <c r="F2" s="6" t="s">
        <v>168</v>
      </c>
      <c r="G2" s="6" t="s">
        <v>171</v>
      </c>
    </row>
    <row r="3" spans="1:7" ht="29" x14ac:dyDescent="0.35">
      <c r="A3" s="4">
        <v>2</v>
      </c>
      <c r="B3" s="5" t="s">
        <v>32</v>
      </c>
      <c r="C3" s="5" t="s">
        <v>29</v>
      </c>
      <c r="D3" s="4" t="s">
        <v>30</v>
      </c>
      <c r="E3" s="5" t="s">
        <v>176</v>
      </c>
      <c r="F3" s="6" t="s">
        <v>167</v>
      </c>
      <c r="G3" s="6" t="s">
        <v>172</v>
      </c>
    </row>
    <row r="4" spans="1:7" ht="43" customHeight="1" x14ac:dyDescent="0.35">
      <c r="A4" s="4">
        <v>3</v>
      </c>
      <c r="B4" s="5" t="s">
        <v>33</v>
      </c>
      <c r="C4" s="5" t="s">
        <v>29</v>
      </c>
      <c r="D4" s="4" t="s">
        <v>30</v>
      </c>
      <c r="E4" s="5" t="s">
        <v>169</v>
      </c>
      <c r="F4" s="6" t="s">
        <v>167</v>
      </c>
      <c r="G4" s="6" t="s">
        <v>170</v>
      </c>
    </row>
    <row r="5" spans="1:7" ht="29" x14ac:dyDescent="0.35">
      <c r="A5" s="4">
        <v>4</v>
      </c>
      <c r="B5" s="5" t="s">
        <v>34</v>
      </c>
      <c r="C5" s="5" t="s">
        <v>29</v>
      </c>
      <c r="D5" s="4" t="s">
        <v>30</v>
      </c>
      <c r="E5" s="5" t="s">
        <v>173</v>
      </c>
      <c r="F5" s="6" t="s">
        <v>167</v>
      </c>
      <c r="G5" s="6" t="s">
        <v>174</v>
      </c>
    </row>
    <row r="6" spans="1:7" x14ac:dyDescent="0.35">
      <c r="A6" s="4">
        <v>5</v>
      </c>
      <c r="B6" s="5" t="s">
        <v>35</v>
      </c>
      <c r="C6" s="5" t="s">
        <v>29</v>
      </c>
      <c r="D6" s="4" t="s">
        <v>36</v>
      </c>
      <c r="E6" s="5" t="s">
        <v>37</v>
      </c>
      <c r="F6" s="6" t="s">
        <v>168</v>
      </c>
      <c r="G6" s="6" t="s">
        <v>170</v>
      </c>
    </row>
    <row r="7" spans="1:7" ht="29" x14ac:dyDescent="0.35">
      <c r="A7" s="4">
        <v>6</v>
      </c>
      <c r="B7" s="5" t="s">
        <v>38</v>
      </c>
      <c r="C7" s="5" t="s">
        <v>29</v>
      </c>
      <c r="D7" s="4" t="s">
        <v>36</v>
      </c>
      <c r="E7" s="5" t="s">
        <v>177</v>
      </c>
      <c r="F7" s="6" t="s">
        <v>167</v>
      </c>
      <c r="G7" s="6" t="s">
        <v>178</v>
      </c>
    </row>
    <row r="8" spans="1:7" ht="29" x14ac:dyDescent="0.35">
      <c r="A8" s="4">
        <v>7</v>
      </c>
      <c r="B8" s="5" t="s">
        <v>39</v>
      </c>
      <c r="C8" s="5" t="s">
        <v>40</v>
      </c>
      <c r="D8" s="4" t="s">
        <v>30</v>
      </c>
      <c r="E8" s="5" t="s">
        <v>181</v>
      </c>
      <c r="F8" s="6" t="s">
        <v>179</v>
      </c>
      <c r="G8" s="6" t="s">
        <v>180</v>
      </c>
    </row>
    <row r="9" spans="1:7" ht="58" x14ac:dyDescent="0.35">
      <c r="A9" s="4">
        <v>8</v>
      </c>
      <c r="B9" s="5" t="s">
        <v>41</v>
      </c>
      <c r="C9" s="5" t="s">
        <v>40</v>
      </c>
      <c r="D9" s="4" t="s">
        <v>30</v>
      </c>
      <c r="E9" s="5" t="s">
        <v>182</v>
      </c>
      <c r="F9" s="6" t="s">
        <v>179</v>
      </c>
      <c r="G9" s="6" t="s">
        <v>183</v>
      </c>
    </row>
    <row r="10" spans="1:7" ht="29" x14ac:dyDescent="0.35">
      <c r="A10" s="4">
        <v>9</v>
      </c>
      <c r="B10" s="5" t="s">
        <v>42</v>
      </c>
      <c r="C10" s="5" t="s">
        <v>40</v>
      </c>
      <c r="D10" s="4" t="s">
        <v>30</v>
      </c>
      <c r="E10" s="5" t="s">
        <v>184</v>
      </c>
      <c r="F10" s="6" t="s">
        <v>167</v>
      </c>
      <c r="G10" s="6" t="s">
        <v>185</v>
      </c>
    </row>
    <row r="11" spans="1:7" x14ac:dyDescent="0.35">
      <c r="A11" s="4">
        <v>10</v>
      </c>
      <c r="B11" s="5" t="s">
        <v>43</v>
      </c>
      <c r="C11" s="5" t="s">
        <v>40</v>
      </c>
      <c r="D11" s="4" t="s">
        <v>36</v>
      </c>
      <c r="E11" s="5" t="s">
        <v>186</v>
      </c>
      <c r="F11" s="6" t="s">
        <v>168</v>
      </c>
      <c r="G11" s="6" t="s">
        <v>183</v>
      </c>
    </row>
    <row r="12" spans="1:7" x14ac:dyDescent="0.35">
      <c r="A12" s="4">
        <v>11</v>
      </c>
      <c r="B12" s="5" t="s">
        <v>44</v>
      </c>
      <c r="C12" s="5" t="s">
        <v>40</v>
      </c>
      <c r="D12" s="4" t="s">
        <v>30</v>
      </c>
      <c r="E12" s="5" t="s">
        <v>45</v>
      </c>
      <c r="F12" s="6" t="s">
        <v>179</v>
      </c>
      <c r="G12" s="6" t="s">
        <v>174</v>
      </c>
    </row>
    <row r="13" spans="1:7" x14ac:dyDescent="0.35">
      <c r="A13" s="4">
        <v>12</v>
      </c>
      <c r="B13" s="5" t="s">
        <v>46</v>
      </c>
      <c r="C13" s="5" t="s">
        <v>40</v>
      </c>
      <c r="D13" s="4" t="s">
        <v>36</v>
      </c>
      <c r="E13" s="5" t="s">
        <v>47</v>
      </c>
      <c r="F13" s="6" t="s">
        <v>168</v>
      </c>
      <c r="G13" s="6" t="s">
        <v>172</v>
      </c>
    </row>
    <row r="14" spans="1:7" ht="29" x14ac:dyDescent="0.35">
      <c r="A14" s="4">
        <v>13</v>
      </c>
      <c r="B14" s="5" t="s">
        <v>48</v>
      </c>
      <c r="C14" s="5" t="s">
        <v>49</v>
      </c>
      <c r="D14" s="4" t="s">
        <v>36</v>
      </c>
      <c r="E14" s="5" t="s">
        <v>187</v>
      </c>
      <c r="F14" s="6" t="s">
        <v>179</v>
      </c>
      <c r="G14" s="6" t="s">
        <v>178</v>
      </c>
    </row>
    <row r="15" spans="1:7" x14ac:dyDescent="0.35">
      <c r="A15" s="4">
        <v>14</v>
      </c>
      <c r="B15" s="5" t="s">
        <v>50</v>
      </c>
      <c r="C15" s="5" t="s">
        <v>49</v>
      </c>
      <c r="D15" s="4" t="s">
        <v>36</v>
      </c>
      <c r="E15" s="5" t="s">
        <v>51</v>
      </c>
      <c r="F15" s="6" t="s">
        <v>168</v>
      </c>
      <c r="G15" s="6" t="s">
        <v>188</v>
      </c>
    </row>
    <row r="16" spans="1:7" x14ac:dyDescent="0.35">
      <c r="A16" s="4">
        <v>15</v>
      </c>
      <c r="B16" s="5" t="s">
        <v>52</v>
      </c>
      <c r="C16" s="5" t="s">
        <v>49</v>
      </c>
      <c r="D16" s="4" t="s">
        <v>36</v>
      </c>
      <c r="E16" s="5" t="s">
        <v>53</v>
      </c>
      <c r="F16" s="6" t="s">
        <v>168</v>
      </c>
      <c r="G16" s="6" t="s">
        <v>189</v>
      </c>
    </row>
    <row r="17" spans="1:7" x14ac:dyDescent="0.35">
      <c r="A17" s="4">
        <v>16</v>
      </c>
      <c r="B17" s="5" t="s">
        <v>54</v>
      </c>
      <c r="C17" s="5" t="s">
        <v>49</v>
      </c>
      <c r="D17" s="4" t="s">
        <v>36</v>
      </c>
      <c r="E17" s="5" t="s">
        <v>190</v>
      </c>
      <c r="F17" s="6" t="s">
        <v>167</v>
      </c>
      <c r="G17" s="6" t="s">
        <v>185</v>
      </c>
    </row>
    <row r="18" spans="1:7" x14ac:dyDescent="0.35">
      <c r="A18" s="4">
        <v>17</v>
      </c>
      <c r="B18" s="5" t="s">
        <v>55</v>
      </c>
      <c r="C18" s="5" t="s">
        <v>49</v>
      </c>
      <c r="D18" s="4" t="s">
        <v>36</v>
      </c>
      <c r="E18" s="5" t="s">
        <v>56</v>
      </c>
      <c r="F18" s="6" t="s">
        <v>168</v>
      </c>
      <c r="G18" s="6" t="s">
        <v>172</v>
      </c>
    </row>
    <row r="19" spans="1:7" x14ac:dyDescent="0.35">
      <c r="A19" s="4">
        <v>18</v>
      </c>
      <c r="B19" s="5" t="s">
        <v>57</v>
      </c>
      <c r="C19" s="5" t="s">
        <v>49</v>
      </c>
      <c r="D19" s="4" t="s">
        <v>36</v>
      </c>
      <c r="E19" s="5" t="s">
        <v>58</v>
      </c>
      <c r="F19" s="6" t="s">
        <v>167</v>
      </c>
      <c r="G19" s="6" t="s">
        <v>178</v>
      </c>
    </row>
    <row r="20" spans="1:7" x14ac:dyDescent="0.35">
      <c r="A20" s="4">
        <v>19</v>
      </c>
      <c r="B20" s="5" t="s">
        <v>59</v>
      </c>
      <c r="C20" s="5" t="s">
        <v>60</v>
      </c>
      <c r="D20" s="4" t="s">
        <v>36</v>
      </c>
      <c r="E20" s="5" t="s">
        <v>61</v>
      </c>
      <c r="F20" s="6" t="s">
        <v>168</v>
      </c>
      <c r="G20" s="6" t="s">
        <v>185</v>
      </c>
    </row>
    <row r="21" spans="1:7" x14ac:dyDescent="0.35">
      <c r="A21" s="4">
        <v>20</v>
      </c>
      <c r="B21" s="5" t="s">
        <v>62</v>
      </c>
      <c r="C21" s="5" t="s">
        <v>60</v>
      </c>
      <c r="D21" s="4" t="s">
        <v>36</v>
      </c>
      <c r="E21" s="5" t="s">
        <v>63</v>
      </c>
      <c r="F21" s="6" t="s">
        <v>168</v>
      </c>
      <c r="G21" s="6" t="s">
        <v>185</v>
      </c>
    </row>
    <row r="22" spans="1:7" x14ac:dyDescent="0.35">
      <c r="A22" s="4">
        <v>21</v>
      </c>
      <c r="B22" s="5" t="s">
        <v>64</v>
      </c>
      <c r="C22" s="5" t="s">
        <v>60</v>
      </c>
      <c r="D22" s="4" t="s">
        <v>30</v>
      </c>
      <c r="E22" s="5" t="s">
        <v>65</v>
      </c>
      <c r="F22" s="6" t="s">
        <v>168</v>
      </c>
      <c r="G22" s="6" t="s">
        <v>170</v>
      </c>
    </row>
    <row r="23" spans="1:7" ht="29" x14ac:dyDescent="0.35">
      <c r="A23" s="4">
        <v>22</v>
      </c>
      <c r="B23" s="5" t="s">
        <v>66</v>
      </c>
      <c r="C23" s="5" t="s">
        <v>60</v>
      </c>
      <c r="D23" s="4" t="s">
        <v>30</v>
      </c>
      <c r="E23" s="5" t="s">
        <v>192</v>
      </c>
      <c r="F23" s="6" t="s">
        <v>167</v>
      </c>
      <c r="G23" s="6" t="s">
        <v>180</v>
      </c>
    </row>
    <row r="24" spans="1:7" x14ac:dyDescent="0.35">
      <c r="A24" s="4">
        <v>23</v>
      </c>
      <c r="B24" s="5" t="s">
        <v>67</v>
      </c>
      <c r="C24" s="5" t="s">
        <v>60</v>
      </c>
      <c r="D24" s="4" t="s">
        <v>30</v>
      </c>
      <c r="E24" s="5" t="s">
        <v>68</v>
      </c>
      <c r="F24" s="6" t="s">
        <v>168</v>
      </c>
      <c r="G24" s="6" t="s">
        <v>174</v>
      </c>
    </row>
    <row r="25" spans="1:7" ht="29" x14ac:dyDescent="0.35">
      <c r="A25" s="4">
        <v>24</v>
      </c>
      <c r="B25" s="5" t="s">
        <v>193</v>
      </c>
      <c r="C25" s="5" t="s">
        <v>60</v>
      </c>
      <c r="D25" s="4" t="s">
        <v>36</v>
      </c>
      <c r="E25" s="5" t="s">
        <v>70</v>
      </c>
      <c r="F25" s="6" t="s">
        <v>168</v>
      </c>
      <c r="G25" s="6" t="s">
        <v>178</v>
      </c>
    </row>
    <row r="26" spans="1:7" x14ac:dyDescent="0.35">
      <c r="A26" s="4">
        <v>25</v>
      </c>
      <c r="B26" s="5" t="s">
        <v>71</v>
      </c>
      <c r="C26" s="5" t="s">
        <v>72</v>
      </c>
      <c r="D26" s="4" t="s">
        <v>30</v>
      </c>
      <c r="E26" s="5" t="s">
        <v>73</v>
      </c>
      <c r="F26" s="6" t="s">
        <v>168</v>
      </c>
      <c r="G26" s="6" t="s">
        <v>171</v>
      </c>
    </row>
    <row r="27" spans="1:7" x14ac:dyDescent="0.35">
      <c r="A27" s="4">
        <v>26</v>
      </c>
      <c r="B27" s="5" t="s">
        <v>74</v>
      </c>
      <c r="C27" s="5" t="s">
        <v>72</v>
      </c>
      <c r="D27" s="4" t="s">
        <v>30</v>
      </c>
      <c r="E27" s="5" t="s">
        <v>75</v>
      </c>
      <c r="F27" s="6" t="s">
        <v>168</v>
      </c>
      <c r="G27" s="6" t="s">
        <v>194</v>
      </c>
    </row>
    <row r="28" spans="1:7" x14ac:dyDescent="0.35">
      <c r="A28" s="4">
        <v>27</v>
      </c>
      <c r="B28" s="5" t="s">
        <v>76</v>
      </c>
      <c r="C28" s="5" t="s">
        <v>72</v>
      </c>
      <c r="D28" s="4" t="s">
        <v>30</v>
      </c>
      <c r="E28" s="5" t="s">
        <v>77</v>
      </c>
      <c r="F28" s="6" t="s">
        <v>195</v>
      </c>
      <c r="G28" s="6"/>
    </row>
    <row r="29" spans="1:7" x14ac:dyDescent="0.35">
      <c r="A29" s="4">
        <v>28</v>
      </c>
      <c r="B29" s="5" t="s">
        <v>78</v>
      </c>
      <c r="C29" s="5" t="s">
        <v>72</v>
      </c>
      <c r="D29" s="4" t="s">
        <v>30</v>
      </c>
      <c r="E29" s="5" t="s">
        <v>79</v>
      </c>
      <c r="F29" s="6" t="s">
        <v>167</v>
      </c>
      <c r="G29" s="6" t="s">
        <v>189</v>
      </c>
    </row>
    <row r="30" spans="1:7" x14ac:dyDescent="0.35">
      <c r="A30" s="4">
        <v>29</v>
      </c>
      <c r="B30" s="5" t="s">
        <v>80</v>
      </c>
      <c r="C30" s="5" t="s">
        <v>72</v>
      </c>
      <c r="D30" s="4" t="s">
        <v>30</v>
      </c>
      <c r="E30" s="5" t="s">
        <v>81</v>
      </c>
      <c r="F30" s="6" t="s">
        <v>167</v>
      </c>
      <c r="G30" s="6" t="s">
        <v>189</v>
      </c>
    </row>
    <row r="31" spans="1:7" x14ac:dyDescent="0.35">
      <c r="A31" s="4">
        <v>30</v>
      </c>
      <c r="B31" s="5" t="s">
        <v>82</v>
      </c>
      <c r="C31" s="5" t="s">
        <v>72</v>
      </c>
      <c r="D31" s="4" t="s">
        <v>30</v>
      </c>
      <c r="E31" s="5" t="s">
        <v>83</v>
      </c>
      <c r="F31" s="6" t="s">
        <v>168</v>
      </c>
      <c r="G31" s="6" t="s">
        <v>170</v>
      </c>
    </row>
    <row r="32" spans="1:7" x14ac:dyDescent="0.35">
      <c r="A32" s="4">
        <v>31</v>
      </c>
      <c r="B32" s="5" t="s">
        <v>84</v>
      </c>
      <c r="C32" s="5" t="s">
        <v>85</v>
      </c>
      <c r="D32" s="4" t="s">
        <v>36</v>
      </c>
      <c r="E32" s="5" t="s">
        <v>86</v>
      </c>
      <c r="F32" s="6" t="s">
        <v>167</v>
      </c>
      <c r="G32" s="6" t="s">
        <v>174</v>
      </c>
    </row>
    <row r="33" spans="1:7" x14ac:dyDescent="0.35">
      <c r="A33" s="4">
        <v>32</v>
      </c>
      <c r="B33" s="5" t="s">
        <v>87</v>
      </c>
      <c r="C33" s="5" t="s">
        <v>85</v>
      </c>
      <c r="D33" s="4" t="s">
        <v>36</v>
      </c>
      <c r="E33" s="5" t="s">
        <v>88</v>
      </c>
      <c r="F33" s="6" t="s">
        <v>168</v>
      </c>
      <c r="G33" s="6" t="s">
        <v>171</v>
      </c>
    </row>
    <row r="34" spans="1:7" x14ac:dyDescent="0.35">
      <c r="A34" s="4">
        <v>33</v>
      </c>
      <c r="B34" s="5" t="s">
        <v>89</v>
      </c>
      <c r="C34" s="5" t="s">
        <v>85</v>
      </c>
      <c r="D34" s="4" t="s">
        <v>36</v>
      </c>
      <c r="E34" s="5" t="s">
        <v>90</v>
      </c>
      <c r="F34" s="6" t="s">
        <v>168</v>
      </c>
      <c r="G34" s="6" t="s">
        <v>188</v>
      </c>
    </row>
    <row r="35" spans="1:7" x14ac:dyDescent="0.35">
      <c r="A35" s="4">
        <v>34</v>
      </c>
      <c r="B35" s="5" t="s">
        <v>91</v>
      </c>
      <c r="C35" s="5" t="s">
        <v>85</v>
      </c>
      <c r="D35" s="4" t="s">
        <v>36</v>
      </c>
      <c r="E35" s="5" t="s">
        <v>92</v>
      </c>
      <c r="F35" s="6" t="s">
        <v>168</v>
      </c>
      <c r="G35" s="6" t="s">
        <v>172</v>
      </c>
    </row>
    <row r="36" spans="1:7" x14ac:dyDescent="0.35">
      <c r="A36" s="4">
        <v>35</v>
      </c>
      <c r="B36" s="5" t="s">
        <v>93</v>
      </c>
      <c r="C36" s="5" t="s">
        <v>85</v>
      </c>
      <c r="D36" s="4" t="s">
        <v>36</v>
      </c>
      <c r="E36" s="5" t="s">
        <v>94</v>
      </c>
      <c r="F36" s="6" t="s">
        <v>179</v>
      </c>
      <c r="G36" s="6" t="s">
        <v>188</v>
      </c>
    </row>
    <row r="37" spans="1:7" x14ac:dyDescent="0.35">
      <c r="A37" s="4">
        <v>36</v>
      </c>
      <c r="B37" s="5" t="s">
        <v>95</v>
      </c>
      <c r="C37" s="5" t="s">
        <v>85</v>
      </c>
      <c r="D37" s="4" t="s">
        <v>36</v>
      </c>
      <c r="E37" s="5" t="s">
        <v>96</v>
      </c>
      <c r="F37" s="6" t="s">
        <v>168</v>
      </c>
      <c r="G37" s="6" t="s">
        <v>185</v>
      </c>
    </row>
    <row r="38" spans="1:7" x14ac:dyDescent="0.35">
      <c r="B38" s="5" t="s">
        <v>97</v>
      </c>
    </row>
  </sheetData>
  <dataValidations count="1">
    <dataValidation type="list" allowBlank="1" sqref="F2:F37">
      <formula1>"көн.,тар.,белгі жоқ,сөздікте жоқ"</formula1>
    </dataValidation>
  </dataValidations>
  <pageMargins left="0.75" right="0.75" top="1" bottom="1" header="0.5" footer="0.5"/>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workbookViewId="0">
      <pane xSplit="2" ySplit="1" topLeftCell="C3" activePane="bottomRight" state="frozen"/>
      <selection pane="topRight"/>
      <selection pane="bottomLeft"/>
      <selection pane="bottomRight" activeCell="H1" sqref="H1:I1048576"/>
    </sheetView>
  </sheetViews>
  <sheetFormatPr defaultRowHeight="14.5" x14ac:dyDescent="0.35"/>
  <cols>
    <col min="1" max="1" width="5" customWidth="1"/>
    <col min="2" max="2" width="13" customWidth="1"/>
    <col min="3" max="4" width="12" customWidth="1"/>
    <col min="5" max="5" width="50" customWidth="1"/>
    <col min="6" max="6" width="28" customWidth="1"/>
    <col min="7" max="7" width="12" customWidth="1"/>
  </cols>
  <sheetData>
    <row r="1" spans="1:7" ht="45" customHeight="1" x14ac:dyDescent="0.35">
      <c r="A1" s="3" t="s">
        <v>22</v>
      </c>
      <c r="B1" s="3" t="s">
        <v>23</v>
      </c>
      <c r="C1" s="3" t="s">
        <v>99</v>
      </c>
      <c r="D1" s="3" t="s">
        <v>100</v>
      </c>
      <c r="E1" s="3" t="s">
        <v>101</v>
      </c>
      <c r="F1" s="3" t="s">
        <v>102</v>
      </c>
      <c r="G1" s="3" t="s">
        <v>103</v>
      </c>
    </row>
    <row r="2" spans="1:7" ht="43.5" x14ac:dyDescent="0.35">
      <c r="A2" s="4">
        <v>1</v>
      </c>
      <c r="B2" s="5" t="s">
        <v>28</v>
      </c>
      <c r="C2" s="6">
        <v>8</v>
      </c>
      <c r="D2" s="6" t="s">
        <v>196</v>
      </c>
      <c r="E2" s="7" t="s">
        <v>197</v>
      </c>
      <c r="F2" s="10" t="s">
        <v>198</v>
      </c>
      <c r="G2" s="11">
        <v>46279</v>
      </c>
    </row>
    <row r="3" spans="1:7" ht="58" x14ac:dyDescent="0.35">
      <c r="A3" s="4">
        <v>2</v>
      </c>
      <c r="B3" s="5" t="s">
        <v>32</v>
      </c>
      <c r="C3" s="6">
        <v>5</v>
      </c>
      <c r="D3" s="6" t="s">
        <v>199</v>
      </c>
      <c r="E3" s="7" t="s">
        <v>200</v>
      </c>
      <c r="F3" s="10" t="s">
        <v>201</v>
      </c>
      <c r="G3" s="11">
        <v>46279</v>
      </c>
    </row>
    <row r="4" spans="1:7" ht="87" x14ac:dyDescent="0.35">
      <c r="A4" s="4">
        <v>3</v>
      </c>
      <c r="B4" s="5" t="s">
        <v>33</v>
      </c>
      <c r="C4" s="6">
        <v>10</v>
      </c>
      <c r="D4" s="6" t="s">
        <v>196</v>
      </c>
      <c r="E4" s="7" t="s">
        <v>202</v>
      </c>
      <c r="F4" s="10" t="s">
        <v>203</v>
      </c>
      <c r="G4" s="11">
        <v>46279</v>
      </c>
    </row>
    <row r="5" spans="1:7" ht="43.5" x14ac:dyDescent="0.35">
      <c r="A5" s="4">
        <v>4</v>
      </c>
      <c r="B5" s="5" t="s">
        <v>34</v>
      </c>
      <c r="C5" s="6">
        <v>10</v>
      </c>
      <c r="D5" s="6" t="s">
        <v>196</v>
      </c>
      <c r="E5" s="7" t="s">
        <v>204</v>
      </c>
      <c r="F5" s="10" t="s">
        <v>205</v>
      </c>
      <c r="G5" s="11">
        <v>46279</v>
      </c>
    </row>
    <row r="6" spans="1:7" x14ac:dyDescent="0.35">
      <c r="A6" s="4">
        <v>5</v>
      </c>
      <c r="B6" s="5" t="s">
        <v>35</v>
      </c>
      <c r="C6" s="6"/>
      <c r="D6" s="6"/>
      <c r="E6" s="7"/>
      <c r="F6" s="7"/>
      <c r="G6" s="6"/>
    </row>
    <row r="7" spans="1:7" x14ac:dyDescent="0.35">
      <c r="A7" s="4">
        <v>6</v>
      </c>
      <c r="B7" s="5" t="s">
        <v>38</v>
      </c>
      <c r="C7" s="6"/>
      <c r="D7" s="6"/>
      <c r="E7" s="7"/>
      <c r="F7" s="7"/>
      <c r="G7" s="6"/>
    </row>
    <row r="8" spans="1:7" x14ac:dyDescent="0.35">
      <c r="A8" s="4">
        <v>7</v>
      </c>
      <c r="B8" s="5" t="s">
        <v>39</v>
      </c>
      <c r="C8" s="6"/>
      <c r="D8" s="6"/>
      <c r="E8" s="7"/>
      <c r="F8" s="7"/>
      <c r="G8" s="6"/>
    </row>
    <row r="9" spans="1:7" x14ac:dyDescent="0.35">
      <c r="A9" s="4">
        <v>8</v>
      </c>
      <c r="B9" s="5" t="s">
        <v>41</v>
      </c>
      <c r="C9" s="6"/>
      <c r="D9" s="6"/>
      <c r="E9" s="7"/>
      <c r="F9" s="7"/>
      <c r="G9" s="6"/>
    </row>
    <row r="10" spans="1:7" x14ac:dyDescent="0.35">
      <c r="A10" s="4">
        <v>9</v>
      </c>
      <c r="B10" s="5" t="s">
        <v>42</v>
      </c>
      <c r="C10" s="6"/>
      <c r="D10" s="6"/>
      <c r="E10" s="7"/>
      <c r="F10" s="7"/>
      <c r="G10" s="6"/>
    </row>
    <row r="11" spans="1:7" x14ac:dyDescent="0.35">
      <c r="A11" s="4">
        <v>10</v>
      </c>
      <c r="B11" s="5" t="s">
        <v>43</v>
      </c>
      <c r="C11" s="6"/>
      <c r="D11" s="6"/>
      <c r="E11" s="7"/>
      <c r="F11" s="7"/>
      <c r="G11" s="6"/>
    </row>
    <row r="12" spans="1:7" x14ac:dyDescent="0.35">
      <c r="A12" s="4">
        <v>11</v>
      </c>
      <c r="B12" s="5" t="s">
        <v>44</v>
      </c>
      <c r="C12" s="6"/>
      <c r="D12" s="6"/>
      <c r="E12" s="7"/>
      <c r="F12" s="7"/>
      <c r="G12" s="6"/>
    </row>
    <row r="13" spans="1:7" x14ac:dyDescent="0.35">
      <c r="A13" s="4">
        <v>12</v>
      </c>
      <c r="B13" s="5" t="s">
        <v>46</v>
      </c>
      <c r="C13" s="6"/>
      <c r="D13" s="6"/>
      <c r="E13" s="7"/>
      <c r="F13" s="7"/>
      <c r="G13" s="6"/>
    </row>
    <row r="14" spans="1:7" x14ac:dyDescent="0.35">
      <c r="A14" s="4">
        <v>13</v>
      </c>
      <c r="B14" s="5" t="s">
        <v>48</v>
      </c>
      <c r="C14" s="6"/>
      <c r="D14" s="6"/>
      <c r="E14" s="7"/>
      <c r="F14" s="7"/>
      <c r="G14" s="6"/>
    </row>
    <row r="15" spans="1:7" x14ac:dyDescent="0.35">
      <c r="A15" s="4">
        <v>14</v>
      </c>
      <c r="B15" s="5" t="s">
        <v>50</v>
      </c>
      <c r="C15" s="6"/>
      <c r="D15" s="6"/>
      <c r="E15" s="7"/>
      <c r="F15" s="7"/>
      <c r="G15" s="6"/>
    </row>
    <row r="16" spans="1:7" x14ac:dyDescent="0.35">
      <c r="A16" s="4">
        <v>15</v>
      </c>
      <c r="B16" s="5" t="s">
        <v>52</v>
      </c>
      <c r="C16" s="6"/>
      <c r="D16" s="6"/>
      <c r="E16" s="7"/>
      <c r="F16" s="7"/>
      <c r="G16" s="6"/>
    </row>
    <row r="17" spans="1:7" x14ac:dyDescent="0.35">
      <c r="A17" s="4">
        <v>16</v>
      </c>
      <c r="B17" s="5" t="s">
        <v>54</v>
      </c>
      <c r="C17" s="6"/>
      <c r="D17" s="6"/>
      <c r="E17" s="7"/>
      <c r="F17" s="7"/>
      <c r="G17" s="6"/>
    </row>
    <row r="18" spans="1:7" x14ac:dyDescent="0.35">
      <c r="A18" s="4">
        <v>17</v>
      </c>
      <c r="B18" s="5" t="s">
        <v>55</v>
      </c>
      <c r="C18" s="6"/>
      <c r="D18" s="6"/>
      <c r="E18" s="7"/>
      <c r="F18" s="7"/>
      <c r="G18" s="6"/>
    </row>
    <row r="19" spans="1:7" x14ac:dyDescent="0.35">
      <c r="A19" s="4">
        <v>18</v>
      </c>
      <c r="B19" s="5" t="s">
        <v>57</v>
      </c>
      <c r="C19" s="6"/>
      <c r="D19" s="6"/>
      <c r="E19" s="7"/>
      <c r="F19" s="7"/>
      <c r="G19" s="6"/>
    </row>
    <row r="20" spans="1:7" x14ac:dyDescent="0.35">
      <c r="A20" s="4">
        <v>19</v>
      </c>
      <c r="B20" s="5" t="s">
        <v>59</v>
      </c>
      <c r="C20" s="6"/>
      <c r="D20" s="6"/>
      <c r="E20" s="7"/>
      <c r="F20" s="7"/>
      <c r="G20" s="6"/>
    </row>
    <row r="21" spans="1:7" x14ac:dyDescent="0.35">
      <c r="A21" s="4">
        <v>20</v>
      </c>
      <c r="B21" s="5" t="s">
        <v>62</v>
      </c>
      <c r="C21" s="6"/>
      <c r="D21" s="6"/>
      <c r="E21" s="7"/>
      <c r="F21" s="7"/>
      <c r="G21" s="6"/>
    </row>
    <row r="22" spans="1:7" x14ac:dyDescent="0.35">
      <c r="A22" s="4">
        <v>21</v>
      </c>
      <c r="B22" s="5" t="s">
        <v>64</v>
      </c>
      <c r="C22" s="6"/>
      <c r="D22" s="6"/>
      <c r="E22" s="7"/>
      <c r="F22" s="7"/>
      <c r="G22" s="6"/>
    </row>
    <row r="23" spans="1:7" x14ac:dyDescent="0.35">
      <c r="A23" s="4">
        <v>22</v>
      </c>
      <c r="B23" s="5" t="s">
        <v>66</v>
      </c>
      <c r="C23" s="6"/>
      <c r="D23" s="6"/>
      <c r="E23" s="7"/>
      <c r="F23" s="7"/>
      <c r="G23" s="6"/>
    </row>
    <row r="24" spans="1:7" x14ac:dyDescent="0.35">
      <c r="A24" s="4">
        <v>23</v>
      </c>
      <c r="B24" s="5" t="s">
        <v>67</v>
      </c>
      <c r="C24" s="6"/>
      <c r="D24" s="6"/>
      <c r="E24" s="7"/>
      <c r="F24" s="7"/>
      <c r="G24" s="6"/>
    </row>
    <row r="25" spans="1:7" x14ac:dyDescent="0.35">
      <c r="A25" s="4">
        <v>24</v>
      </c>
      <c r="B25" s="5" t="s">
        <v>69</v>
      </c>
      <c r="C25" s="6"/>
      <c r="D25" s="6"/>
      <c r="E25" s="7"/>
      <c r="F25" s="7"/>
      <c r="G25" s="6"/>
    </row>
    <row r="26" spans="1:7" x14ac:dyDescent="0.35">
      <c r="A26" s="4">
        <v>25</v>
      </c>
      <c r="B26" s="5" t="s">
        <v>71</v>
      </c>
      <c r="C26" s="6"/>
      <c r="D26" s="6"/>
      <c r="E26" s="7"/>
      <c r="F26" s="7"/>
      <c r="G26" s="6"/>
    </row>
    <row r="27" spans="1:7" x14ac:dyDescent="0.35">
      <c r="A27" s="4">
        <v>26</v>
      </c>
      <c r="B27" s="5" t="s">
        <v>74</v>
      </c>
      <c r="C27" s="6"/>
      <c r="D27" s="6"/>
      <c r="E27" s="7"/>
      <c r="F27" s="7"/>
      <c r="G27" s="6"/>
    </row>
    <row r="28" spans="1:7" x14ac:dyDescent="0.35">
      <c r="A28" s="4">
        <v>27</v>
      </c>
      <c r="B28" s="5" t="s">
        <v>76</v>
      </c>
      <c r="C28" s="6"/>
      <c r="D28" s="6"/>
      <c r="E28" s="7"/>
      <c r="F28" s="7"/>
      <c r="G28" s="6"/>
    </row>
    <row r="29" spans="1:7" x14ac:dyDescent="0.35">
      <c r="A29" s="4">
        <v>28</v>
      </c>
      <c r="B29" s="5" t="s">
        <v>78</v>
      </c>
      <c r="C29" s="6"/>
      <c r="D29" s="6"/>
      <c r="E29" s="7"/>
      <c r="F29" s="7"/>
      <c r="G29" s="6"/>
    </row>
    <row r="30" spans="1:7" x14ac:dyDescent="0.35">
      <c r="A30" s="4">
        <v>29</v>
      </c>
      <c r="B30" s="5" t="s">
        <v>80</v>
      </c>
      <c r="C30" s="6"/>
      <c r="D30" s="6"/>
      <c r="E30" s="7"/>
      <c r="F30" s="7"/>
      <c r="G30" s="6"/>
    </row>
    <row r="31" spans="1:7" x14ac:dyDescent="0.35">
      <c r="A31" s="4">
        <v>30</v>
      </c>
      <c r="B31" s="5" t="s">
        <v>82</v>
      </c>
      <c r="C31" s="6"/>
      <c r="D31" s="6"/>
      <c r="E31" s="7"/>
      <c r="F31" s="7"/>
      <c r="G31" s="6"/>
    </row>
    <row r="32" spans="1:7" x14ac:dyDescent="0.35">
      <c r="A32" s="4">
        <v>31</v>
      </c>
      <c r="B32" s="5" t="s">
        <v>84</v>
      </c>
      <c r="C32" s="6"/>
      <c r="D32" s="6"/>
      <c r="E32" s="7"/>
      <c r="F32" s="7"/>
      <c r="G32" s="6"/>
    </row>
    <row r="33" spans="1:7" x14ac:dyDescent="0.35">
      <c r="A33" s="4">
        <v>32</v>
      </c>
      <c r="B33" s="5" t="s">
        <v>87</v>
      </c>
      <c r="C33" s="6"/>
      <c r="D33" s="6"/>
      <c r="E33" s="7"/>
      <c r="F33" s="7"/>
      <c r="G33" s="6"/>
    </row>
    <row r="34" spans="1:7" x14ac:dyDescent="0.35">
      <c r="A34" s="4">
        <v>33</v>
      </c>
      <c r="B34" s="5" t="s">
        <v>89</v>
      </c>
      <c r="C34" s="6"/>
      <c r="D34" s="6"/>
      <c r="E34" s="7"/>
      <c r="F34" s="7"/>
      <c r="G34" s="6"/>
    </row>
    <row r="35" spans="1:7" x14ac:dyDescent="0.35">
      <c r="A35" s="4">
        <v>34</v>
      </c>
      <c r="B35" s="5" t="s">
        <v>91</v>
      </c>
      <c r="C35" s="6"/>
      <c r="D35" s="6"/>
      <c r="E35" s="7"/>
      <c r="F35" s="7"/>
      <c r="G35" s="6"/>
    </row>
    <row r="36" spans="1:7" x14ac:dyDescent="0.35">
      <c r="A36" s="4">
        <v>35</v>
      </c>
      <c r="B36" s="5" t="s">
        <v>93</v>
      </c>
      <c r="C36" s="6"/>
      <c r="D36" s="6"/>
      <c r="E36" s="7"/>
      <c r="F36" s="7"/>
      <c r="G36" s="6"/>
    </row>
    <row r="37" spans="1:7" x14ac:dyDescent="0.35">
      <c r="A37" s="4">
        <v>36</v>
      </c>
      <c r="B37" s="5" t="s">
        <v>95</v>
      </c>
      <c r="C37" s="6"/>
      <c r="D37" s="6"/>
      <c r="E37" s="7"/>
      <c r="F37" s="7"/>
      <c r="G37" s="6"/>
    </row>
  </sheetData>
  <dataValidations count="1">
    <dataValidation type="list" allowBlank="1" sqref="D2:D37">
      <formula1>"Ж,А,Т,Б"</formula1>
    </dataValidation>
  </dataValidations>
  <hyperlinks>
    <hyperlink ref="F2" r:id="rId1"/>
    <hyperlink ref="F3" r:id="rId2"/>
    <hyperlink ref="F4" r:id="rId3"/>
    <hyperlink ref="F5" r:id="rId4"/>
  </hyperlink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9"/>
  <sheetViews>
    <sheetView tabSelected="1" workbookViewId="0">
      <pane xSplit="2" ySplit="1" topLeftCell="C2" activePane="bottomRight" state="frozen"/>
      <selection pane="topRight"/>
      <selection pane="bottomLeft"/>
      <selection pane="bottomRight" activeCell="P9" sqref="P9"/>
    </sheetView>
  </sheetViews>
  <sheetFormatPr defaultRowHeight="14.5" x14ac:dyDescent="0.35"/>
  <cols>
    <col min="1" max="1" width="7" customWidth="1"/>
    <col min="2" max="2" width="22" customWidth="1"/>
    <col min="3" max="26" width="10" customWidth="1"/>
  </cols>
  <sheetData>
    <row r="1" spans="1:26" ht="60" customHeight="1" x14ac:dyDescent="0.35">
      <c r="A1" s="3" t="s">
        <v>104</v>
      </c>
      <c r="B1" s="3" t="s">
        <v>105</v>
      </c>
      <c r="C1" s="3" t="s">
        <v>106</v>
      </c>
      <c r="D1" s="3" t="s">
        <v>107</v>
      </c>
      <c r="E1" s="3" t="s">
        <v>108</v>
      </c>
      <c r="F1" s="3" t="s">
        <v>109</v>
      </c>
      <c r="G1" s="3" t="s">
        <v>110</v>
      </c>
      <c r="H1" s="3" t="s">
        <v>111</v>
      </c>
      <c r="I1" s="3" t="s">
        <v>112</v>
      </c>
      <c r="J1" s="3" t="s">
        <v>113</v>
      </c>
      <c r="K1" s="3" t="s">
        <v>114</v>
      </c>
      <c r="L1" s="3" t="s">
        <v>115</v>
      </c>
      <c r="M1" s="3" t="s">
        <v>116</v>
      </c>
      <c r="N1" s="3" t="s">
        <v>117</v>
      </c>
      <c r="O1" s="3" t="s">
        <v>118</v>
      </c>
      <c r="P1" s="3" t="s">
        <v>119</v>
      </c>
      <c r="Q1" s="3" t="s">
        <v>120</v>
      </c>
      <c r="R1" s="3" t="s">
        <v>121</v>
      </c>
      <c r="S1" s="3" t="s">
        <v>122</v>
      </c>
      <c r="T1" s="3" t="s">
        <v>123</v>
      </c>
      <c r="U1" s="3" t="s">
        <v>124</v>
      </c>
      <c r="V1" s="3" t="s">
        <v>125</v>
      </c>
      <c r="W1" s="3" t="s">
        <v>126</v>
      </c>
      <c r="X1" s="3" t="s">
        <v>127</v>
      </c>
      <c r="Y1" s="3" t="s">
        <v>128</v>
      </c>
      <c r="Z1" s="3" t="s">
        <v>129</v>
      </c>
    </row>
    <row r="2" spans="1:26" x14ac:dyDescent="0.35">
      <c r="A2" s="4" t="s">
        <v>130</v>
      </c>
      <c r="B2" s="5" t="s">
        <v>131</v>
      </c>
      <c r="C2" s="6">
        <v>2</v>
      </c>
      <c r="D2" s="6">
        <v>1</v>
      </c>
      <c r="E2" s="6">
        <v>2</v>
      </c>
      <c r="F2" s="6">
        <v>1</v>
      </c>
      <c r="G2" s="6">
        <v>0</v>
      </c>
      <c r="H2" s="6">
        <v>1</v>
      </c>
      <c r="I2" s="6">
        <v>1</v>
      </c>
      <c r="J2" s="6"/>
      <c r="K2" s="6">
        <v>1</v>
      </c>
      <c r="L2" s="6"/>
      <c r="M2" s="6">
        <v>0</v>
      </c>
      <c r="N2" s="6"/>
      <c r="O2" s="6">
        <v>0</v>
      </c>
      <c r="P2" s="6"/>
      <c r="Q2" s="6">
        <v>2</v>
      </c>
      <c r="R2" s="6"/>
      <c r="S2" s="6">
        <v>0</v>
      </c>
      <c r="T2" s="6"/>
      <c r="U2" s="6">
        <v>2</v>
      </c>
      <c r="V2" s="6"/>
      <c r="W2" s="6">
        <v>0</v>
      </c>
      <c r="X2" s="6"/>
      <c r="Y2" s="6">
        <v>2</v>
      </c>
      <c r="Z2" s="6"/>
    </row>
    <row r="3" spans="1:26" x14ac:dyDescent="0.35">
      <c r="A3" s="4" t="s">
        <v>132</v>
      </c>
      <c r="B3" s="5" t="s">
        <v>131</v>
      </c>
      <c r="C3" s="6">
        <v>1</v>
      </c>
      <c r="D3" s="6">
        <v>1</v>
      </c>
      <c r="E3" s="6">
        <v>2</v>
      </c>
      <c r="F3" s="6">
        <v>1</v>
      </c>
      <c r="G3" s="6">
        <v>0</v>
      </c>
      <c r="H3" s="6">
        <v>1</v>
      </c>
      <c r="I3" s="6">
        <v>2</v>
      </c>
      <c r="J3" s="6"/>
      <c r="K3" s="6">
        <v>2</v>
      </c>
      <c r="L3" s="6"/>
      <c r="M3" s="6">
        <v>1</v>
      </c>
      <c r="N3" s="6"/>
      <c r="O3" s="6">
        <v>0</v>
      </c>
      <c r="P3" s="6"/>
      <c r="Q3" s="6">
        <v>2</v>
      </c>
      <c r="R3" s="6"/>
      <c r="S3" s="6">
        <v>0</v>
      </c>
      <c r="T3" s="6"/>
      <c r="U3" s="6">
        <v>1</v>
      </c>
      <c r="V3" s="6"/>
      <c r="W3" s="6">
        <v>0</v>
      </c>
      <c r="X3" s="6"/>
      <c r="Y3" s="6">
        <v>2</v>
      </c>
      <c r="Z3" s="6"/>
    </row>
    <row r="4" spans="1:26" x14ac:dyDescent="0.35">
      <c r="A4" s="4" t="s">
        <v>133</v>
      </c>
      <c r="B4" s="5" t="s">
        <v>131</v>
      </c>
      <c r="C4" s="6">
        <v>0</v>
      </c>
      <c r="D4" s="6">
        <v>1</v>
      </c>
      <c r="E4" s="6">
        <v>2</v>
      </c>
      <c r="F4" s="6"/>
      <c r="G4" s="6">
        <v>0</v>
      </c>
      <c r="H4" s="6"/>
      <c r="I4" s="6">
        <v>2</v>
      </c>
      <c r="J4" s="6"/>
      <c r="K4" s="6">
        <v>1</v>
      </c>
      <c r="L4" s="6"/>
      <c r="M4" s="6">
        <v>2</v>
      </c>
      <c r="N4" s="6"/>
      <c r="O4" s="6">
        <v>1</v>
      </c>
      <c r="P4" s="6"/>
      <c r="Q4" s="6">
        <v>2</v>
      </c>
      <c r="R4" s="6"/>
      <c r="S4" s="6">
        <v>0</v>
      </c>
      <c r="T4" s="6"/>
      <c r="U4" s="6">
        <v>2</v>
      </c>
      <c r="V4" s="6"/>
      <c r="W4" s="6">
        <v>0</v>
      </c>
      <c r="X4" s="6"/>
      <c r="Y4" s="6">
        <v>2</v>
      </c>
      <c r="Z4" s="6"/>
    </row>
    <row r="5" spans="1:26" x14ac:dyDescent="0.35">
      <c r="A5" s="4" t="s">
        <v>134</v>
      </c>
      <c r="B5" s="5" t="s">
        <v>131</v>
      </c>
      <c r="C5" s="6"/>
      <c r="D5" s="6"/>
      <c r="E5" s="6"/>
      <c r="F5" s="6"/>
      <c r="G5" s="6">
        <v>1</v>
      </c>
      <c r="H5" s="6"/>
      <c r="I5" s="6"/>
      <c r="J5" s="6"/>
      <c r="K5" s="6">
        <v>0</v>
      </c>
      <c r="L5" s="6"/>
      <c r="M5" s="6"/>
      <c r="N5" s="6"/>
      <c r="O5" s="6">
        <v>1</v>
      </c>
      <c r="P5" s="6"/>
      <c r="Q5" s="6"/>
      <c r="R5" s="6"/>
      <c r="S5" s="6"/>
      <c r="T5" s="6"/>
      <c r="U5" s="6">
        <v>2</v>
      </c>
      <c r="V5" s="6"/>
      <c r="W5" s="6"/>
      <c r="X5" s="6"/>
      <c r="Y5" s="6"/>
      <c r="Z5" s="6"/>
    </row>
    <row r="6" spans="1:26" x14ac:dyDescent="0.35">
      <c r="A6" s="4" t="s">
        <v>135</v>
      </c>
      <c r="B6" s="5" t="s">
        <v>131</v>
      </c>
      <c r="C6" s="6"/>
      <c r="D6" s="6"/>
      <c r="E6" s="6"/>
      <c r="F6" s="6"/>
      <c r="G6" s="6">
        <v>0</v>
      </c>
      <c r="H6" s="6"/>
      <c r="I6" s="6"/>
      <c r="J6" s="6"/>
      <c r="K6" s="6"/>
      <c r="L6" s="6"/>
      <c r="M6" s="6"/>
      <c r="N6" s="6"/>
      <c r="O6" s="6"/>
      <c r="P6" s="6"/>
      <c r="Q6" s="6"/>
      <c r="R6" s="6"/>
      <c r="S6" s="6"/>
      <c r="T6" s="6"/>
      <c r="U6" s="6"/>
      <c r="V6" s="6"/>
      <c r="W6" s="6"/>
      <c r="X6" s="6"/>
      <c r="Y6" s="6"/>
      <c r="Z6" s="6"/>
    </row>
    <row r="7" spans="1:26" x14ac:dyDescent="0.35">
      <c r="A7" s="4" t="s">
        <v>136</v>
      </c>
      <c r="B7" s="5" t="s">
        <v>131</v>
      </c>
      <c r="C7" s="6"/>
      <c r="D7" s="6"/>
      <c r="E7" s="6"/>
      <c r="F7" s="6"/>
      <c r="G7" s="6"/>
      <c r="H7" s="6"/>
      <c r="I7" s="6"/>
      <c r="J7" s="6"/>
      <c r="K7" s="6"/>
      <c r="L7" s="6"/>
      <c r="M7" s="6"/>
      <c r="N7" s="6"/>
      <c r="O7" s="6"/>
      <c r="P7" s="6"/>
      <c r="Q7" s="6"/>
      <c r="R7" s="6"/>
      <c r="S7" s="6"/>
      <c r="T7" s="6"/>
      <c r="U7" s="6"/>
      <c r="V7" s="6"/>
      <c r="W7" s="6"/>
      <c r="X7" s="6"/>
      <c r="Y7" s="6"/>
      <c r="Z7" s="6"/>
    </row>
    <row r="8" spans="1:26" x14ac:dyDescent="0.35">
      <c r="A8" s="4" t="s">
        <v>137</v>
      </c>
      <c r="B8" s="5" t="s">
        <v>138</v>
      </c>
      <c r="C8" s="6">
        <v>2</v>
      </c>
      <c r="D8" s="6">
        <v>1</v>
      </c>
      <c r="E8" s="6">
        <v>2</v>
      </c>
      <c r="F8" s="6">
        <v>1</v>
      </c>
      <c r="G8" s="6">
        <v>2</v>
      </c>
      <c r="H8" s="6">
        <v>0</v>
      </c>
      <c r="I8" s="6">
        <v>1</v>
      </c>
      <c r="J8" s="6">
        <v>1</v>
      </c>
      <c r="K8" s="6">
        <v>1</v>
      </c>
      <c r="L8" s="6">
        <v>1</v>
      </c>
      <c r="M8" s="6">
        <v>2</v>
      </c>
      <c r="N8" s="6">
        <v>1</v>
      </c>
      <c r="O8" s="6">
        <v>2</v>
      </c>
      <c r="P8" s="6">
        <v>1</v>
      </c>
      <c r="Q8" s="6">
        <v>2</v>
      </c>
      <c r="R8" s="6">
        <v>1</v>
      </c>
      <c r="S8" s="6">
        <v>2</v>
      </c>
      <c r="T8" s="6">
        <v>1</v>
      </c>
      <c r="U8" s="6">
        <v>2</v>
      </c>
      <c r="V8" s="6">
        <v>1</v>
      </c>
      <c r="W8" s="6">
        <v>1</v>
      </c>
      <c r="X8" s="6">
        <v>1</v>
      </c>
      <c r="Y8" s="6">
        <v>2</v>
      </c>
      <c r="Z8" s="6">
        <v>1</v>
      </c>
    </row>
    <row r="9" spans="1:26" x14ac:dyDescent="0.35">
      <c r="A9" s="4" t="s">
        <v>139</v>
      </c>
      <c r="B9" s="5" t="s">
        <v>138</v>
      </c>
      <c r="C9" s="6"/>
      <c r="D9" s="6"/>
      <c r="E9" s="6"/>
      <c r="F9" s="6"/>
      <c r="G9" s="6"/>
      <c r="H9" s="6"/>
      <c r="I9" s="6"/>
      <c r="J9" s="6"/>
      <c r="K9" s="6"/>
      <c r="L9" s="6"/>
      <c r="M9" s="6"/>
      <c r="N9" s="6"/>
      <c r="O9" s="6"/>
      <c r="P9" s="6"/>
      <c r="Q9" s="6"/>
      <c r="R9" s="6"/>
      <c r="S9" s="6"/>
      <c r="T9" s="6"/>
      <c r="U9" s="6"/>
      <c r="V9" s="6"/>
      <c r="W9" s="6"/>
      <c r="X9" s="6"/>
      <c r="Y9" s="6"/>
      <c r="Z9" s="6"/>
    </row>
    <row r="10" spans="1:26" x14ac:dyDescent="0.35">
      <c r="A10" s="4" t="s">
        <v>140</v>
      </c>
      <c r="B10" s="5" t="s">
        <v>138</v>
      </c>
      <c r="C10" s="6"/>
      <c r="D10" s="6"/>
      <c r="E10" s="6"/>
      <c r="F10" s="6"/>
      <c r="G10" s="6"/>
      <c r="H10" s="6"/>
      <c r="I10" s="6"/>
      <c r="J10" s="6"/>
      <c r="K10" s="6"/>
      <c r="L10" s="6"/>
      <c r="M10" s="6"/>
      <c r="N10" s="6"/>
      <c r="O10" s="6"/>
      <c r="P10" s="6"/>
      <c r="Q10" s="6"/>
      <c r="R10" s="6"/>
      <c r="S10" s="6"/>
      <c r="T10" s="6"/>
      <c r="U10" s="6"/>
      <c r="V10" s="6"/>
      <c r="W10" s="6"/>
      <c r="X10" s="6"/>
      <c r="Y10" s="6"/>
      <c r="Z10" s="6"/>
    </row>
    <row r="11" spans="1:26" x14ac:dyDescent="0.35">
      <c r="A11" s="4" t="s">
        <v>141</v>
      </c>
      <c r="B11" s="5" t="s">
        <v>138</v>
      </c>
      <c r="C11" s="6"/>
      <c r="D11" s="6"/>
      <c r="E11" s="6"/>
      <c r="F11" s="6"/>
      <c r="G11" s="6"/>
      <c r="H11" s="6"/>
      <c r="I11" s="6"/>
      <c r="J11" s="6"/>
      <c r="K11" s="6"/>
      <c r="L11" s="6"/>
      <c r="M11" s="6"/>
      <c r="N11" s="6"/>
      <c r="O11" s="6"/>
      <c r="P11" s="6"/>
      <c r="Q11" s="6"/>
      <c r="R11" s="6"/>
      <c r="S11" s="6"/>
      <c r="T11" s="6"/>
      <c r="U11" s="6"/>
      <c r="V11" s="6"/>
      <c r="W11" s="6"/>
      <c r="X11" s="6"/>
      <c r="Y11" s="6"/>
      <c r="Z11" s="6"/>
    </row>
    <row r="12" spans="1:26" x14ac:dyDescent="0.35">
      <c r="A12" s="4" t="s">
        <v>142</v>
      </c>
      <c r="B12" s="5" t="s">
        <v>138</v>
      </c>
      <c r="C12" s="6"/>
      <c r="D12" s="6"/>
      <c r="E12" s="6"/>
      <c r="F12" s="6"/>
      <c r="G12" s="6"/>
      <c r="H12" s="6"/>
      <c r="I12" s="6"/>
      <c r="J12" s="6"/>
      <c r="K12" s="6"/>
      <c r="L12" s="6"/>
      <c r="M12" s="6"/>
      <c r="N12" s="6"/>
      <c r="O12" s="6"/>
      <c r="P12" s="6"/>
      <c r="Q12" s="6"/>
      <c r="R12" s="6"/>
      <c r="S12" s="6"/>
      <c r="T12" s="6"/>
      <c r="U12" s="6"/>
      <c r="V12" s="6"/>
      <c r="W12" s="6"/>
      <c r="X12" s="6"/>
      <c r="Y12" s="6"/>
      <c r="Z12" s="6"/>
    </row>
    <row r="13" spans="1:26" x14ac:dyDescent="0.35">
      <c r="A13" s="4" t="s">
        <v>143</v>
      </c>
      <c r="B13" s="5" t="s">
        <v>138</v>
      </c>
      <c r="C13" s="6"/>
      <c r="D13" s="6"/>
      <c r="E13" s="6"/>
      <c r="F13" s="6"/>
      <c r="G13" s="6"/>
      <c r="H13" s="6"/>
      <c r="I13" s="6"/>
      <c r="J13" s="6"/>
      <c r="K13" s="6"/>
      <c r="L13" s="6"/>
      <c r="M13" s="6"/>
      <c r="N13" s="6"/>
      <c r="O13" s="6"/>
      <c r="P13" s="6"/>
      <c r="Q13" s="6"/>
      <c r="R13" s="6"/>
      <c r="S13" s="6"/>
      <c r="T13" s="6"/>
      <c r="U13" s="6"/>
      <c r="V13" s="6"/>
      <c r="W13" s="6"/>
      <c r="X13" s="6"/>
      <c r="Y13" s="6"/>
      <c r="Z13" s="6"/>
    </row>
    <row r="14" spans="1:26" ht="29" x14ac:dyDescent="0.35">
      <c r="A14" s="4" t="s">
        <v>144</v>
      </c>
      <c r="B14" s="5" t="s">
        <v>145</v>
      </c>
      <c r="C14" s="6">
        <v>2</v>
      </c>
      <c r="D14" s="6">
        <v>1</v>
      </c>
      <c r="E14" s="6">
        <v>2</v>
      </c>
      <c r="F14" s="6">
        <v>1</v>
      </c>
      <c r="G14" s="6">
        <v>1</v>
      </c>
      <c r="H14" s="6">
        <v>1</v>
      </c>
      <c r="I14" s="6">
        <v>1</v>
      </c>
      <c r="J14" s="6">
        <v>2</v>
      </c>
      <c r="K14" s="6">
        <v>2</v>
      </c>
      <c r="L14" s="6">
        <v>2</v>
      </c>
      <c r="M14" s="6">
        <v>1</v>
      </c>
      <c r="N14" s="6">
        <v>1</v>
      </c>
      <c r="O14" s="6">
        <v>1</v>
      </c>
      <c r="P14" s="6">
        <v>2</v>
      </c>
      <c r="Q14" s="6">
        <v>2</v>
      </c>
      <c r="R14" s="6">
        <v>2</v>
      </c>
      <c r="S14" s="6">
        <v>1</v>
      </c>
      <c r="T14" s="6">
        <v>1</v>
      </c>
      <c r="U14" s="6">
        <v>2</v>
      </c>
      <c r="V14" s="6">
        <v>1</v>
      </c>
      <c r="W14" s="6">
        <v>2</v>
      </c>
      <c r="X14" s="6">
        <v>1</v>
      </c>
      <c r="Y14" s="6">
        <v>2</v>
      </c>
      <c r="Z14" s="6">
        <v>1</v>
      </c>
    </row>
    <row r="15" spans="1:26" ht="29" x14ac:dyDescent="0.35">
      <c r="A15" s="4" t="s">
        <v>146</v>
      </c>
      <c r="B15" s="5" t="s">
        <v>145</v>
      </c>
      <c r="C15" s="6"/>
      <c r="D15" s="6"/>
      <c r="E15" s="6"/>
      <c r="F15" s="6"/>
      <c r="G15" s="6"/>
      <c r="H15" s="6"/>
      <c r="I15" s="6"/>
      <c r="J15" s="6"/>
      <c r="K15" s="6"/>
      <c r="L15" s="6"/>
      <c r="M15" s="6"/>
      <c r="N15" s="6"/>
      <c r="O15" s="6"/>
      <c r="P15" s="6"/>
      <c r="Q15" s="6"/>
      <c r="R15" s="6"/>
      <c r="S15" s="6"/>
      <c r="T15" s="6"/>
      <c r="U15" s="6"/>
      <c r="V15" s="6"/>
      <c r="W15" s="6"/>
      <c r="X15" s="6"/>
      <c r="Y15" s="6"/>
      <c r="Z15" s="6"/>
    </row>
    <row r="16" spans="1:26" ht="29" x14ac:dyDescent="0.35">
      <c r="A16" s="4" t="s">
        <v>147</v>
      </c>
      <c r="B16" s="5" t="s">
        <v>145</v>
      </c>
      <c r="C16" s="6"/>
      <c r="D16" s="6"/>
      <c r="E16" s="6"/>
      <c r="F16" s="6"/>
      <c r="G16" s="6"/>
      <c r="H16" s="6"/>
      <c r="I16" s="6"/>
      <c r="J16" s="6"/>
      <c r="K16" s="6"/>
      <c r="L16" s="6"/>
      <c r="M16" s="6"/>
      <c r="N16" s="6"/>
      <c r="O16" s="6"/>
      <c r="P16" s="6"/>
      <c r="Q16" s="6"/>
      <c r="R16" s="6"/>
      <c r="S16" s="6"/>
      <c r="T16" s="6"/>
      <c r="U16" s="6"/>
      <c r="V16" s="6"/>
      <c r="W16" s="6"/>
      <c r="X16" s="6"/>
      <c r="Y16" s="6"/>
      <c r="Z16" s="6"/>
    </row>
    <row r="17" spans="1:26" ht="29" x14ac:dyDescent="0.35">
      <c r="A17" s="4" t="s">
        <v>148</v>
      </c>
      <c r="B17" s="5" t="s">
        <v>145</v>
      </c>
      <c r="C17" s="6"/>
      <c r="D17" s="6"/>
      <c r="E17" s="6"/>
      <c r="F17" s="6"/>
      <c r="G17" s="6"/>
      <c r="H17" s="6"/>
      <c r="I17" s="6"/>
      <c r="J17" s="6"/>
      <c r="K17" s="6"/>
      <c r="L17" s="6"/>
      <c r="M17" s="6"/>
      <c r="N17" s="6"/>
      <c r="O17" s="6"/>
      <c r="P17" s="6"/>
      <c r="Q17" s="6"/>
      <c r="R17" s="6"/>
      <c r="S17" s="6"/>
      <c r="T17" s="6"/>
      <c r="U17" s="6"/>
      <c r="V17" s="6"/>
      <c r="W17" s="6"/>
      <c r="X17" s="6"/>
      <c r="Y17" s="6"/>
      <c r="Z17" s="6"/>
    </row>
    <row r="18" spans="1:26" ht="29" x14ac:dyDescent="0.35">
      <c r="A18" s="4" t="s">
        <v>149</v>
      </c>
      <c r="B18" s="5" t="s">
        <v>145</v>
      </c>
      <c r="C18" s="6"/>
      <c r="D18" s="6"/>
      <c r="E18" s="6"/>
      <c r="F18" s="6"/>
      <c r="G18" s="6"/>
      <c r="H18" s="6"/>
      <c r="I18" s="6"/>
      <c r="J18" s="6"/>
      <c r="K18" s="6"/>
      <c r="L18" s="6"/>
      <c r="M18" s="6"/>
      <c r="N18" s="6"/>
      <c r="O18" s="6"/>
      <c r="P18" s="6"/>
      <c r="Q18" s="6"/>
      <c r="R18" s="6"/>
      <c r="S18" s="6"/>
      <c r="T18" s="6"/>
      <c r="U18" s="6"/>
      <c r="V18" s="6"/>
      <c r="W18" s="6"/>
      <c r="X18" s="6"/>
      <c r="Y18" s="6"/>
      <c r="Z18" s="6"/>
    </row>
    <row r="19" spans="1:26" ht="29" x14ac:dyDescent="0.35">
      <c r="A19" s="4" t="s">
        <v>150</v>
      </c>
      <c r="B19" s="5" t="s">
        <v>145</v>
      </c>
      <c r="C19" s="6"/>
      <c r="D19" s="6"/>
      <c r="E19" s="6"/>
      <c r="F19" s="6"/>
      <c r="G19" s="6"/>
      <c r="H19" s="6"/>
      <c r="I19" s="6"/>
      <c r="J19" s="6"/>
      <c r="K19" s="6"/>
      <c r="L19" s="6"/>
      <c r="M19" s="6"/>
      <c r="N19" s="6"/>
      <c r="O19" s="6"/>
      <c r="P19" s="6"/>
      <c r="Q19" s="6"/>
      <c r="R19" s="6"/>
      <c r="S19" s="6"/>
      <c r="T19" s="6"/>
      <c r="U19" s="6"/>
      <c r="V19" s="6"/>
      <c r="W19" s="6"/>
      <c r="X19" s="6"/>
      <c r="Y19" s="6"/>
      <c r="Z19" s="6"/>
    </row>
  </sheetData>
  <dataValidations count="2">
    <dataValidation type="list" allowBlank="1" sqref="C2 C3 C4 C5 C6 C7 C8 C9 C10 C11 C12 C13 C14 C15 C16 C17 C18 C19 E2 E3 E4 E5 E6 E7 E8 E9 E10 E11 E12 E13 E14 E15 E16 E17 E18 E19 G2 G3 G4 G5 G6 G7 G8 G9 G10 G11 G12 G13 G14 G15 G16 G17 G18 G19 I2 I3 I4 I5 I6 I7 I8 I9 I10 I11 I12 I13 I14 I15 I16 I17 I18 I19 K2 K3 K4 K5 K6 K7 K8 K9 K10 K11 K12 K13 K14 K15 K16 K17 K18 K19 M2 M3 M4 M5 M6 M7 M8 M9 M10 M11 M12 M13 M14 M15 M16 M17 M18 M19 O2 O3 O4 O5 O6 O7 O8 O9 O10 O11 O12 O13 O14 O15 O16 O17 O18 O19 Q2 Q3 Q4 Q5 Q6 Q7 Q8 Q9 Q10 Q11 Q12 Q13 Q14 Q15 Q16 Q17 Q18 Q19 S2 S3 S4 S5 S6 S7 S8 S9 S10 S11 S12 S13 S14 S15 S16 S17 S18 S19 U2 U3 U4 U5 U6 U7 U8 U9 U10 U11 U12 U13 U14 U15 U16 U17 U18 U19 W2 W3 W4 W5 W6 W7 W8 W9 W10 W11 W12 W13 W14 W15 W16 W17 W18 W19 Y2 Y3 Y4 Y5 Y6 Y7 Y8 Y9 Y10 Y11 Y12 Y13 Y14 Y15 Y16 Y17 Y18 Y19">
      <formula1>"0,1,2"</formula1>
    </dataValidation>
    <dataValidation type="list" allowBlank="1" sqref="D2 D3 D4 D5 D6 D7 D8 D9 D10 D11 D12 D13 D14 D15 D16 D17 D18 D19 F2 F3 F4 F5 F6 F7 F8 F9 F10 F11 F12 F13 F14 F15 F16 F17 F18 F19 H2 H3 H4 H5 H6 H7 H8 H9 H10 H11 H12 H13 H14 H15 H16 H17 H18 H19 J2 J3 J4 J5 J6 J7 J8 J9 J10 J11 J12 J13 J14 J15 J16 J17 J18 J19 L2 L3 L4 L5 L6 L7 L8 L9 L10 L11 L12 L13 L14 L15 L16 L17 L18 L19 N2 N3 N4 N5 N6 N7 N8 N9 N10 N11 N12 N13 N14 N15 N16 N17 N18 N19 P2 P3 P4 P5 P6 P7 P8 P9 P10 P11 P12 P13 P14 P15 P16 P17 P18 P19 R2 R3 R4 R5 R6 R7 R8 R9 R10 R11 R12 R13 R14 R15 R16 R17 R18 R19 T2 T3 T4 T5 T6 T7 T8 T9 T10 T11 T12 T13 T14 T15 T16 T17 T18 T19 V2 V3 V4 V5 V6 V7 V8 V9 V10 V11 V12 V13 V14 V15 V16 V17 V18 V19 X2 X3 X4 X5 X6 X7 X8 X9 X10 X11 X12 X13 X14 X15 X16 X17 X18 X19 Z2 Z3 Z4 Z5 Z6 Z7 Z8 Z9 Z10 Z11 Z12 Z13 Z14 Z15 Z16 Z17 Z18 Z19">
      <formula1>"0,1"</formula1>
    </dataValidation>
  </dataValidation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
  <sheetViews>
    <sheetView topLeftCell="A5" workbookViewId="0"/>
  </sheetViews>
  <sheetFormatPr defaultRowHeight="14.5" x14ac:dyDescent="0.35"/>
  <cols>
    <col min="1" max="1" width="30" customWidth="1"/>
    <col min="2" max="7" width="12" customWidth="1"/>
  </cols>
  <sheetData>
    <row r="1" spans="1:6" x14ac:dyDescent="0.35">
      <c r="A1" s="8" t="s">
        <v>151</v>
      </c>
    </row>
    <row r="2" spans="1:6" ht="45" customHeight="1" x14ac:dyDescent="0.35">
      <c r="A2" s="3" t="s">
        <v>152</v>
      </c>
      <c r="B2" s="3" t="s">
        <v>153</v>
      </c>
      <c r="C2" s="3" t="s">
        <v>154</v>
      </c>
      <c r="D2" s="3" t="s">
        <v>155</v>
      </c>
      <c r="E2" s="3" t="s">
        <v>156</v>
      </c>
      <c r="F2" s="3" t="s">
        <v>157</v>
      </c>
    </row>
    <row r="3" spans="1:6" x14ac:dyDescent="0.35">
      <c r="A3" s="5" t="s">
        <v>29</v>
      </c>
      <c r="B3" s="4" t="e">
        <f>('БАҚ мониторингі'!#REF!="Ж")+('БАҚ мониторингі'!#REF!="Ж")+('БАҚ мониторингі'!#REF!="Ж")+('БАҚ мониторингі'!#REF!="Ж")+('БАҚ мониторингі'!#REF!="Ж")+('БАҚ мониторингі'!#REF!="Ж")</f>
        <v>#REF!</v>
      </c>
      <c r="C3" s="4" t="e">
        <f>('БАҚ мониторингі'!#REF!="А")+('БАҚ мониторингі'!#REF!="А")+('БАҚ мониторингі'!#REF!="А")+('БАҚ мониторингі'!#REF!="А")+('БАҚ мониторингі'!#REF!="А")+('БАҚ мониторингі'!#REF!="А")</f>
        <v>#REF!</v>
      </c>
      <c r="D3" s="4" t="e">
        <f>('БАҚ мониторингі'!#REF!="Т")+('БАҚ мониторингі'!#REF!="Т")+('БАҚ мониторингі'!#REF!="Т")+('БАҚ мониторингі'!#REF!="Т")+('БАҚ мониторингі'!#REF!="Т")+('БАҚ мониторингі'!#REF!="Т")</f>
        <v>#REF!</v>
      </c>
      <c r="E3" s="4" t="e">
        <f>('БАҚ мониторингі'!#REF!="Ұ")+('БАҚ мониторингі'!#REF!="Ұ")+('БАҚ мониторингі'!#REF!="Ұ")+('БАҚ мониторингі'!#REF!="Ұ")+('БАҚ мониторингі'!#REF!="Ұ")+('БАҚ мониторингі'!#REF!="Ұ")</f>
        <v>#REF!</v>
      </c>
      <c r="F3" s="4" t="e">
        <f t="shared" ref="F3:F8" si="0">SUM(B3:E3)</f>
        <v>#REF!</v>
      </c>
    </row>
    <row r="4" spans="1:6" x14ac:dyDescent="0.35">
      <c r="A4" s="5" t="s">
        <v>40</v>
      </c>
      <c r="B4" s="4" t="e">
        <f>('БАҚ мониторингі'!#REF!="Ж")+('БАҚ мониторингі'!#REF!="Ж")+('БАҚ мониторингі'!#REF!="Ж")+('БАҚ мониторингі'!#REF!="Ж")+('БАҚ мониторингі'!#REF!="Ж")+('БАҚ мониторингі'!#REF!="Ж")</f>
        <v>#REF!</v>
      </c>
      <c r="C4" s="4" t="e">
        <f>('БАҚ мониторингі'!#REF!="А")+('БАҚ мониторингі'!#REF!="А")+('БАҚ мониторингі'!#REF!="А")+('БАҚ мониторингі'!#REF!="А")+('БАҚ мониторингі'!#REF!="А")+('БАҚ мониторингі'!#REF!="А")</f>
        <v>#REF!</v>
      </c>
      <c r="D4" s="4" t="e">
        <f>('БАҚ мониторингі'!#REF!="Т")+('БАҚ мониторингі'!#REF!="Т")+('БАҚ мониторингі'!#REF!="Т")+('БАҚ мониторингі'!#REF!="Т")+('БАҚ мониторингі'!#REF!="Т")+('БАҚ мониторингі'!#REF!="Т")</f>
        <v>#REF!</v>
      </c>
      <c r="E4" s="4" t="e">
        <f>('БАҚ мониторингі'!#REF!="Ұ")+('БАҚ мониторингі'!#REF!="Ұ")+('БАҚ мониторингі'!#REF!="Ұ")+('БАҚ мониторингі'!#REF!="Ұ")+('БАҚ мониторингі'!#REF!="Ұ")+('БАҚ мониторингі'!#REF!="Ұ")</f>
        <v>#REF!</v>
      </c>
      <c r="F4" s="4" t="e">
        <f t="shared" si="0"/>
        <v>#REF!</v>
      </c>
    </row>
    <row r="5" spans="1:6" x14ac:dyDescent="0.35">
      <c r="A5" s="5" t="s">
        <v>49</v>
      </c>
      <c r="B5" s="4" t="e">
        <f>('БАҚ мониторингі'!#REF!="Ж")+('БАҚ мониторингі'!#REF!="Ж")+('БАҚ мониторингі'!#REF!="Ж")+('БАҚ мониторингі'!#REF!="Ж")+('БАҚ мониторингі'!#REF!="Ж")+('БАҚ мониторингі'!#REF!="Ж")</f>
        <v>#REF!</v>
      </c>
      <c r="C5" s="4" t="e">
        <f>('БАҚ мониторингі'!#REF!="А")+('БАҚ мониторингі'!#REF!="А")+('БАҚ мониторингі'!#REF!="А")+('БАҚ мониторингі'!#REF!="А")+('БАҚ мониторингі'!#REF!="А")+('БАҚ мониторингі'!#REF!="А")</f>
        <v>#REF!</v>
      </c>
      <c r="D5" s="4" t="e">
        <f>('БАҚ мониторингі'!#REF!="Т")+('БАҚ мониторингі'!#REF!="Т")+('БАҚ мониторингі'!#REF!="Т")+('БАҚ мониторингі'!#REF!="Т")+('БАҚ мониторингі'!#REF!="Т")+('БАҚ мониторингі'!#REF!="Т")</f>
        <v>#REF!</v>
      </c>
      <c r="E5" s="4" t="e">
        <f>('БАҚ мониторингі'!#REF!="Ұ")+('БАҚ мониторингі'!#REF!="Ұ")+('БАҚ мониторингі'!#REF!="Ұ")+('БАҚ мониторингі'!#REF!="Ұ")+('БАҚ мониторингі'!#REF!="Ұ")+('БАҚ мониторингі'!#REF!="Ұ")</f>
        <v>#REF!</v>
      </c>
      <c r="F5" s="4" t="e">
        <f t="shared" si="0"/>
        <v>#REF!</v>
      </c>
    </row>
    <row r="6" spans="1:6" x14ac:dyDescent="0.35">
      <c r="A6" s="5" t="s">
        <v>60</v>
      </c>
      <c r="B6" s="4" t="e">
        <f>('БАҚ мониторингі'!#REF!="Ж")+('БАҚ мониторингі'!#REF!="Ж")+('БАҚ мониторингі'!#REF!="Ж")+('БАҚ мониторингі'!#REF!="Ж")+('БАҚ мониторингі'!#REF!="Ж")+('БАҚ мониторингі'!#REF!="Ж")</f>
        <v>#REF!</v>
      </c>
      <c r="C6" s="4" t="e">
        <f>('БАҚ мониторингі'!#REF!="А")+('БАҚ мониторингі'!#REF!="А")+('БАҚ мониторингі'!#REF!="А")+('БАҚ мониторингі'!#REF!="А")+('БАҚ мониторингі'!#REF!="А")+('БАҚ мониторингі'!#REF!="А")</f>
        <v>#REF!</v>
      </c>
      <c r="D6" s="4" t="e">
        <f>('БАҚ мониторингі'!#REF!="Т")+('БАҚ мониторингі'!#REF!="Т")+('БАҚ мониторингі'!#REF!="Т")+('БАҚ мониторингі'!#REF!="Т")+('БАҚ мониторингі'!#REF!="Т")+('БАҚ мониторингі'!#REF!="Т")</f>
        <v>#REF!</v>
      </c>
      <c r="E6" s="4" t="e">
        <f>('БАҚ мониторингі'!#REF!="Ұ")+('БАҚ мониторингі'!#REF!="Ұ")+('БАҚ мониторингі'!#REF!="Ұ")+('БАҚ мониторингі'!#REF!="Ұ")+('БАҚ мониторингі'!#REF!="Ұ")+('БАҚ мониторингі'!#REF!="Ұ")</f>
        <v>#REF!</v>
      </c>
      <c r="F6" s="4" t="e">
        <f t="shared" si="0"/>
        <v>#REF!</v>
      </c>
    </row>
    <row r="7" spans="1:6" x14ac:dyDescent="0.35">
      <c r="A7" s="5" t="s">
        <v>72</v>
      </c>
      <c r="B7" s="4" t="e">
        <f>('БАҚ мониторингі'!#REF!="Ж")+('БАҚ мониторингі'!#REF!="Ж")+('БАҚ мониторингі'!#REF!="Ж")+('БАҚ мониторингі'!#REF!="Ж")+('БАҚ мониторингі'!#REF!="Ж")+('БАҚ мониторингі'!#REF!="Ж")</f>
        <v>#REF!</v>
      </c>
      <c r="C7" s="4" t="e">
        <f>('БАҚ мониторингі'!#REF!="А")+('БАҚ мониторингі'!#REF!="А")+('БАҚ мониторингі'!#REF!="А")+('БАҚ мониторингі'!#REF!="А")+('БАҚ мониторингі'!#REF!="А")+('БАҚ мониторингі'!#REF!="А")</f>
        <v>#REF!</v>
      </c>
      <c r="D7" s="4" t="e">
        <f>('БАҚ мониторингі'!#REF!="Т")+('БАҚ мониторингі'!#REF!="Т")+('БАҚ мониторингі'!#REF!="Т")+('БАҚ мониторингі'!#REF!="Т")+('БАҚ мониторингі'!#REF!="Т")+('БАҚ мониторингі'!#REF!="Т")</f>
        <v>#REF!</v>
      </c>
      <c r="E7" s="4" t="e">
        <f>('БАҚ мониторингі'!#REF!="Ұ")+('БАҚ мониторингі'!#REF!="Ұ")+('БАҚ мониторингі'!#REF!="Ұ")+('БАҚ мониторингі'!#REF!="Ұ")+('БАҚ мониторингі'!#REF!="Ұ")+('БАҚ мониторингі'!#REF!="Ұ")</f>
        <v>#REF!</v>
      </c>
      <c r="F7" s="4" t="e">
        <f t="shared" si="0"/>
        <v>#REF!</v>
      </c>
    </row>
    <row r="8" spans="1:6" x14ac:dyDescent="0.35">
      <c r="A8" s="5" t="s">
        <v>85</v>
      </c>
      <c r="B8" s="4" t="e">
        <f>('БАҚ мониторингі'!#REF!="Ж")+('БАҚ мониторингі'!#REF!="Ж")+('БАҚ мониторингі'!#REF!="Ж")+('БАҚ мониторингі'!#REF!="Ж")+('БАҚ мониторингі'!#REF!="Ж")+('БАҚ мониторингі'!#REF!="Ж")</f>
        <v>#REF!</v>
      </c>
      <c r="C8" s="4" t="e">
        <f>('БАҚ мониторингі'!#REF!="А")+('БАҚ мониторингі'!#REF!="А")+('БАҚ мониторингі'!#REF!="А")+('БАҚ мониторингі'!#REF!="А")+('БАҚ мониторингі'!#REF!="А")+('БАҚ мониторингі'!#REF!="А")</f>
        <v>#REF!</v>
      </c>
      <c r="D8" s="4" t="e">
        <f>('БАҚ мониторингі'!#REF!="Т")+('БАҚ мониторингі'!#REF!="Т")+('БАҚ мониторингі'!#REF!="Т")+('БАҚ мониторингі'!#REF!="Т")+('БАҚ мониторингі'!#REF!="Т")+('БАҚ мониторингі'!#REF!="Т")</f>
        <v>#REF!</v>
      </c>
      <c r="E8" s="4" t="e">
        <f>('БАҚ мониторингі'!#REF!="Ұ")+('БАҚ мониторингі'!#REF!="Ұ")+('БАҚ мониторингі'!#REF!="Ұ")+('БАҚ мониторингі'!#REF!="Ұ")+('БАҚ мониторингі'!#REF!="Ұ")+('БАҚ мониторингі'!#REF!="Ұ")</f>
        <v>#REF!</v>
      </c>
      <c r="F8" s="4" t="e">
        <f t="shared" si="0"/>
        <v>#REF!</v>
      </c>
    </row>
    <row r="9" spans="1:6" x14ac:dyDescent="0.35">
      <c r="A9" s="9" t="s">
        <v>157</v>
      </c>
      <c r="B9" s="4" t="e">
        <f>SUM(B3:B8)</f>
        <v>#REF!</v>
      </c>
      <c r="C9" s="4" t="e">
        <f>SUM(C3:C8)</f>
        <v>#REF!</v>
      </c>
      <c r="D9" s="4" t="e">
        <f>SUM(D3:D8)</f>
        <v>#REF!</v>
      </c>
      <c r="E9" s="4" t="e">
        <f>SUM(E3:E8)</f>
        <v>#REF!</v>
      </c>
      <c r="F9" s="4" t="e">
        <f>SUM(F3:F8)</f>
        <v>#REF!</v>
      </c>
    </row>
    <row r="11" spans="1:6" x14ac:dyDescent="0.35">
      <c r="A11" s="8" t="s">
        <v>158</v>
      </c>
    </row>
    <row r="12" spans="1:6" ht="45" customHeight="1" x14ac:dyDescent="0.35">
      <c r="A12" s="3" t="s">
        <v>23</v>
      </c>
      <c r="B12" s="3" t="s">
        <v>131</v>
      </c>
      <c r="C12" s="3" t="s">
        <v>138</v>
      </c>
      <c r="D12" s="3" t="s">
        <v>145</v>
      </c>
    </row>
    <row r="13" spans="1:6" x14ac:dyDescent="0.35">
      <c r="A13" s="5" t="s">
        <v>28</v>
      </c>
      <c r="B13" s="4">
        <f>IFERROR(ROUND(COUNTIFS(Тест!$A$2:$A$19,"О*",Тест!$C$2:$C$19,2)/COUNTIFS(Тест!$A$2:$A$19,"О*",Тест!$C$2:$C$19,"&lt;&gt;")*100,1),"")</f>
        <v>33.299999999999997</v>
      </c>
      <c r="C13" s="4">
        <f>IFERROR(ROUND(COUNTIFS(Тест!$A$2:$A$19,"Ә*",Тест!$C$2:$C$19,2)/COUNTIFS(Тест!$A$2:$A$19,"Ә*",Тест!$C$2:$C$19,"&lt;&gt;")*100,1),"")</f>
        <v>100</v>
      </c>
      <c r="D13" s="4">
        <f>IFERROR(ROUND(COUNTIFS(Тест!$A$2:$A$19,"Ү*",Тест!$C$2:$C$19,2)/COUNTIFS(Тест!$A$2:$A$19,"Ү*",Тест!$C$2:$C$19,"&lt;&gt;")*100,1),"")</f>
        <v>100</v>
      </c>
    </row>
    <row r="14" spans="1:6" x14ac:dyDescent="0.35">
      <c r="A14" s="5" t="s">
        <v>35</v>
      </c>
      <c r="B14" s="4">
        <f>IFERROR(ROUND(COUNTIFS(Тест!$A$2:$A$19,"О*",Тест!$E$2:$E$19,2)/COUNTIFS(Тест!$A$2:$A$19,"О*",Тест!$E$2:$E$19,"&lt;&gt;")*100,1),"")</f>
        <v>100</v>
      </c>
      <c r="C14" s="4">
        <f>IFERROR(ROUND(COUNTIFS(Тест!$A$2:$A$19,"Ә*",Тест!$E$2:$E$19,2)/COUNTIFS(Тест!$A$2:$A$19,"Ә*",Тест!$E$2:$E$19,"&lt;&gt;")*100,1),"")</f>
        <v>100</v>
      </c>
      <c r="D14" s="4">
        <f>IFERROR(ROUND(COUNTIFS(Тест!$A$2:$A$19,"Ү*",Тест!$E$2:$E$19,2)/COUNTIFS(Тест!$A$2:$A$19,"Ү*",Тест!$E$2:$E$19,"&lt;&gt;")*100,1),"")</f>
        <v>100</v>
      </c>
    </row>
    <row r="15" spans="1:6" x14ac:dyDescent="0.35">
      <c r="A15" s="5" t="s">
        <v>39</v>
      </c>
      <c r="B15" s="4">
        <f>IFERROR(ROUND(COUNTIFS(Тест!$A$2:$A$19,"О*",Тест!$G$2:$G$19,2)/COUNTIFS(Тест!$A$2:$A$19,"О*",Тест!$G$2:$G$19,"&lt;&gt;")*100,1),"")</f>
        <v>0</v>
      </c>
      <c r="C15" s="4">
        <f>IFERROR(ROUND(COUNTIFS(Тест!$A$2:$A$19,"Ә*",Тест!$G$2:$G$19,2)/COUNTIFS(Тест!$A$2:$A$19,"Ә*",Тест!$G$2:$G$19,"&lt;&gt;")*100,1),"")</f>
        <v>100</v>
      </c>
      <c r="D15" s="4">
        <f>IFERROR(ROUND(COUNTIFS(Тест!$A$2:$A$19,"Ү*",Тест!$G$2:$G$19,2)/COUNTIFS(Тест!$A$2:$A$19,"Ү*",Тест!$G$2:$G$19,"&lt;&gt;")*100,1),"")</f>
        <v>0</v>
      </c>
    </row>
    <row r="16" spans="1:6" x14ac:dyDescent="0.35">
      <c r="A16" s="5" t="s">
        <v>43</v>
      </c>
      <c r="B16" s="4">
        <f>IFERROR(ROUND(COUNTIFS(Тест!$A$2:$A$19,"О*",Тест!$I$2:$I$19,2)/COUNTIFS(Тест!$A$2:$A$19,"О*",Тест!$I$2:$I$19,"&lt;&gt;")*100,1),"")</f>
        <v>66.7</v>
      </c>
      <c r="C16" s="4">
        <f>IFERROR(ROUND(COUNTIFS(Тест!$A$2:$A$19,"Ә*",Тест!$I$2:$I$19,2)/COUNTIFS(Тест!$A$2:$A$19,"Ә*",Тест!$I$2:$I$19,"&lt;&gt;")*100,1),"")</f>
        <v>0</v>
      </c>
      <c r="D16" s="4">
        <f>IFERROR(ROUND(COUNTIFS(Тест!$A$2:$A$19,"Ү*",Тест!$I$2:$I$19,2)/COUNTIFS(Тест!$A$2:$A$19,"Ү*",Тест!$I$2:$I$19,"&lt;&gt;")*100,1),"")</f>
        <v>0</v>
      </c>
    </row>
    <row r="17" spans="1:4" x14ac:dyDescent="0.35">
      <c r="A17" s="5" t="s">
        <v>48</v>
      </c>
      <c r="B17" s="4">
        <f>IFERROR(ROUND(COUNTIFS(Тест!$A$2:$A$19,"О*",Тест!$K$2:$K$19,2)/COUNTIFS(Тест!$A$2:$A$19,"О*",Тест!$K$2:$K$19,"&lt;&gt;")*100,1),"")</f>
        <v>25</v>
      </c>
      <c r="C17" s="4">
        <f>IFERROR(ROUND(COUNTIFS(Тест!$A$2:$A$19,"Ә*",Тест!$K$2:$K$19,2)/COUNTIFS(Тест!$A$2:$A$19,"Ә*",Тест!$K$2:$K$19,"&lt;&gt;")*100,1),"")</f>
        <v>0</v>
      </c>
      <c r="D17" s="4">
        <f>IFERROR(ROUND(COUNTIFS(Тест!$A$2:$A$19,"Ү*",Тест!$K$2:$K$19,2)/COUNTIFS(Тест!$A$2:$A$19,"Ү*",Тест!$K$2:$K$19,"&lt;&gt;")*100,1),"")</f>
        <v>100</v>
      </c>
    </row>
    <row r="18" spans="1:4" x14ac:dyDescent="0.35">
      <c r="A18" s="5" t="s">
        <v>55</v>
      </c>
      <c r="B18" s="4">
        <f>IFERROR(ROUND(COUNTIFS(Тест!$A$2:$A$19,"О*",Тест!$M$2:$M$19,2)/COUNTIFS(Тест!$A$2:$A$19,"О*",Тест!$M$2:$M$19,"&lt;&gt;")*100,1),"")</f>
        <v>33.299999999999997</v>
      </c>
      <c r="C18" s="4">
        <f>IFERROR(ROUND(COUNTIFS(Тест!$A$2:$A$19,"Ә*",Тест!$M$2:$M$19,2)/COUNTIFS(Тест!$A$2:$A$19,"Ә*",Тест!$M$2:$M$19,"&lt;&gt;")*100,1),"")</f>
        <v>100</v>
      </c>
      <c r="D18" s="4">
        <f>IFERROR(ROUND(COUNTIFS(Тест!$A$2:$A$19,"Ү*",Тест!$M$2:$M$19,2)/COUNTIFS(Тест!$A$2:$A$19,"Ү*",Тест!$M$2:$M$19,"&lt;&gt;")*100,1),"")</f>
        <v>0</v>
      </c>
    </row>
    <row r="19" spans="1:4" x14ac:dyDescent="0.35">
      <c r="A19" s="5" t="s">
        <v>66</v>
      </c>
      <c r="B19" s="4">
        <f>IFERROR(ROUND(COUNTIFS(Тест!$A$2:$A$19,"О*",Тест!$O$2:$O$19,2)/COUNTIFS(Тест!$A$2:$A$19,"О*",Тест!$O$2:$O$19,"&lt;&gt;")*100,1),"")</f>
        <v>0</v>
      </c>
      <c r="C19" s="4">
        <f>IFERROR(ROUND(COUNTIFS(Тест!$A$2:$A$19,"Ә*",Тест!$O$2:$O$19,2)/COUNTIFS(Тест!$A$2:$A$19,"Ә*",Тест!$O$2:$O$19,"&lt;&gt;")*100,1),"")</f>
        <v>100</v>
      </c>
      <c r="D19" s="4">
        <f>IFERROR(ROUND(COUNTIFS(Тест!$A$2:$A$19,"Ү*",Тест!$O$2:$O$19,2)/COUNTIFS(Тест!$A$2:$A$19,"Ү*",Тест!$O$2:$O$19,"&lt;&gt;")*100,1),"")</f>
        <v>0</v>
      </c>
    </row>
    <row r="20" spans="1:4" x14ac:dyDescent="0.35">
      <c r="A20" s="5" t="s">
        <v>62</v>
      </c>
      <c r="B20" s="4">
        <f>IFERROR(ROUND(COUNTIFS(Тест!$A$2:$A$19,"О*",Тест!$Q$2:$Q$19,2)/COUNTIFS(Тест!$A$2:$A$19,"О*",Тест!$Q$2:$Q$19,"&lt;&gt;")*100,1),"")</f>
        <v>100</v>
      </c>
      <c r="C20" s="4">
        <f>IFERROR(ROUND(COUNTIFS(Тест!$A$2:$A$19,"Ә*",Тест!$Q$2:$Q$19,2)/COUNTIFS(Тест!$A$2:$A$19,"Ә*",Тест!$Q$2:$Q$19,"&lt;&gt;")*100,1),"")</f>
        <v>100</v>
      </c>
      <c r="D20" s="4">
        <f>IFERROR(ROUND(COUNTIFS(Тест!$A$2:$A$19,"Ү*",Тест!$Q$2:$Q$19,2)/COUNTIFS(Тест!$A$2:$A$19,"Ү*",Тест!$Q$2:$Q$19,"&lt;&gt;")*100,1),"")</f>
        <v>100</v>
      </c>
    </row>
    <row r="21" spans="1:4" x14ac:dyDescent="0.35">
      <c r="A21" s="5" t="s">
        <v>78</v>
      </c>
      <c r="B21" s="4">
        <f>IFERROR(ROUND(COUNTIFS(Тест!$A$2:$A$19,"О*",Тест!$S$2:$S$19,2)/COUNTIFS(Тест!$A$2:$A$19,"О*",Тест!$S$2:$S$19,"&lt;&gt;")*100,1),"")</f>
        <v>0</v>
      </c>
      <c r="C21" s="4">
        <f>IFERROR(ROUND(COUNTIFS(Тест!$A$2:$A$19,"Ә*",Тест!$S$2:$S$19,2)/COUNTIFS(Тест!$A$2:$A$19,"Ә*",Тест!$S$2:$S$19,"&lt;&gt;")*100,1),"")</f>
        <v>100</v>
      </c>
      <c r="D21" s="4">
        <f>IFERROR(ROUND(COUNTIFS(Тест!$A$2:$A$19,"Ү*",Тест!$S$2:$S$19,2)/COUNTIFS(Тест!$A$2:$A$19,"Ү*",Тест!$S$2:$S$19,"&lt;&gt;")*100,1),"")</f>
        <v>0</v>
      </c>
    </row>
    <row r="22" spans="1:4" x14ac:dyDescent="0.35">
      <c r="A22" s="5" t="s">
        <v>71</v>
      </c>
      <c r="B22" s="4">
        <f>IFERROR(ROUND(COUNTIFS(Тест!$A$2:$A$19,"О*",Тест!$U$2:$U$19,2)/COUNTIFS(Тест!$A$2:$A$19,"О*",Тест!$U$2:$U$19,"&lt;&gt;")*100,1),"")</f>
        <v>75</v>
      </c>
      <c r="C22" s="4">
        <f>IFERROR(ROUND(COUNTIFS(Тест!$A$2:$A$19,"Ә*",Тест!$U$2:$U$19,2)/COUNTIFS(Тест!$A$2:$A$19,"Ә*",Тест!$U$2:$U$19,"&lt;&gt;")*100,1),"")</f>
        <v>100</v>
      </c>
      <c r="D22" s="4">
        <f>IFERROR(ROUND(COUNTIFS(Тест!$A$2:$A$19,"Ү*",Тест!$U$2:$U$19,2)/COUNTIFS(Тест!$A$2:$A$19,"Ү*",Тест!$U$2:$U$19,"&lt;&gt;")*100,1),"")</f>
        <v>100</v>
      </c>
    </row>
    <row r="23" spans="1:4" x14ac:dyDescent="0.35">
      <c r="A23" s="5" t="s">
        <v>87</v>
      </c>
      <c r="B23" s="4">
        <f>IFERROR(ROUND(COUNTIFS(Тест!$A$2:$A$19,"О*",Тест!$W$2:$W$19,2)/COUNTIFS(Тест!$A$2:$A$19,"О*",Тест!$W$2:$W$19,"&lt;&gt;")*100,1),"")</f>
        <v>0</v>
      </c>
      <c r="C23" s="4">
        <f>IFERROR(ROUND(COUNTIFS(Тест!$A$2:$A$19,"Ә*",Тест!$W$2:$W$19,2)/COUNTIFS(Тест!$A$2:$A$19,"Ә*",Тест!$W$2:$W$19,"&lt;&gt;")*100,1),"")</f>
        <v>0</v>
      </c>
      <c r="D23" s="4">
        <f>IFERROR(ROUND(COUNTIFS(Тест!$A$2:$A$19,"Ү*",Тест!$W$2:$W$19,2)/COUNTIFS(Тест!$A$2:$A$19,"Ү*",Тест!$W$2:$W$19,"&lt;&gt;")*100,1),"")</f>
        <v>100</v>
      </c>
    </row>
    <row r="24" spans="1:4" x14ac:dyDescent="0.35">
      <c r="A24" s="5" t="s">
        <v>95</v>
      </c>
      <c r="B24" s="4">
        <f>IFERROR(ROUND(COUNTIFS(Тест!$A$2:$A$19,"О*",Тест!$Y$2:$Y$19,2)/COUNTIFS(Тест!$A$2:$A$19,"О*",Тест!$Y$2:$Y$19,"&lt;&gt;")*100,1),"")</f>
        <v>100</v>
      </c>
      <c r="C24" s="4">
        <f>IFERROR(ROUND(COUNTIFS(Тест!$A$2:$A$19,"Ә*",Тест!$Y$2:$Y$19,2)/COUNTIFS(Тест!$A$2:$A$19,"Ә*",Тест!$Y$2:$Y$19,"&lt;&gt;")*100,1),"")</f>
        <v>100</v>
      </c>
      <c r="D24" s="4">
        <f>IFERROR(ROUND(COUNTIFS(Тест!$A$2:$A$19,"Ү*",Тест!$Y$2:$Y$19,2)/COUNTIFS(Тест!$A$2:$A$19,"Ү*",Тест!$Y$2:$Y$19,"&lt;&gt;")*100,1),"")</f>
        <v>100</v>
      </c>
    </row>
    <row r="26" spans="1:4" x14ac:dyDescent="0.35">
      <c r="A26" s="8" t="s">
        <v>159</v>
      </c>
    </row>
    <row r="27" spans="1:4" ht="45" customHeight="1" x14ac:dyDescent="0.35">
      <c r="A27" s="3" t="s">
        <v>98</v>
      </c>
      <c r="B27" s="3" t="s">
        <v>160</v>
      </c>
    </row>
    <row r="28" spans="1:4" x14ac:dyDescent="0.35">
      <c r="A28" s="5" t="s">
        <v>161</v>
      </c>
      <c r="B28" s="4" t="e">
        <f>COUNTIF(#REF!,A28)</f>
        <v>#REF!</v>
      </c>
    </row>
    <row r="29" spans="1:4" x14ac:dyDescent="0.35">
      <c r="A29" s="5" t="s">
        <v>162</v>
      </c>
      <c r="B29" s="4" t="e">
        <f>COUNTIF(#REF!,A29)</f>
        <v>#REF!</v>
      </c>
    </row>
    <row r="30" spans="1:4" x14ac:dyDescent="0.35">
      <c r="A30" s="5" t="s">
        <v>163</v>
      </c>
      <c r="B30" s="4" t="e">
        <f>COUNTIF(#REF!,A30)</f>
        <v>#REF!</v>
      </c>
    </row>
    <row r="31" spans="1:4" x14ac:dyDescent="0.35">
      <c r="A31" s="5" t="s">
        <v>164</v>
      </c>
      <c r="B31" s="4" t="e">
        <f>COUNTIF(#REF!,A31)</f>
        <v>#REF!</v>
      </c>
    </row>
    <row r="32" spans="1:4" x14ac:dyDescent="0.35">
      <c r="A32" s="5" t="s">
        <v>165</v>
      </c>
      <c r="B32" s="4" t="e">
        <f>COUNTIF(#REF!,A32)</f>
        <v>#REF!</v>
      </c>
    </row>
    <row r="33" spans="1:2" x14ac:dyDescent="0.35">
      <c r="A33" s="5" t="s">
        <v>166</v>
      </c>
      <c r="B33" s="4" t="e">
        <f>COUNTIF(#REF!,A33)</f>
        <v>#REF!</v>
      </c>
    </row>
  </sheetData>
  <pageMargins left="0.75" right="0.75" top="1" bottom="1" header="0.5" footer="0.5"/>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Нұсқау</vt:lpstr>
      <vt:lpstr>Сөздер</vt:lpstr>
      <vt:lpstr>БАҚ мониторингі</vt:lpstr>
      <vt:lpstr>Тест</vt:lpstr>
      <vt:lpstr>Қорытынды</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Tattigul</cp:lastModifiedBy>
  <dcterms:created xsi:type="dcterms:W3CDTF">2026-10-04T15:06:10Z</dcterms:created>
  <dcterms:modified xsi:type="dcterms:W3CDTF">2026-10-06T07:23:20Z</dcterms:modified>
</cp:coreProperties>
</file>