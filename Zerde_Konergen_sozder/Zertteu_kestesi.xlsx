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ұсқау" sheetId="1" state="visible" r:id="rId1"/>
    <sheet xmlns:r="http://schemas.openxmlformats.org/officeDocument/2006/relationships" name="Сөздер" sheetId="2" state="visible" r:id="rId2"/>
    <sheet xmlns:r="http://schemas.openxmlformats.org/officeDocument/2006/relationships" name="БАҚ мониторингі" sheetId="3" state="visible" r:id="rId3"/>
    <sheet xmlns:r="http://schemas.openxmlformats.org/officeDocument/2006/relationships" name="Тест" sheetId="4" state="visible" r:id="rId4"/>
    <sheet xmlns:r="http://schemas.openxmlformats.org/officeDocument/2006/relationships" name="Қорытынды"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2"/>
    </font>
    <font>
      <sz val="11"/>
    </font>
    <font>
      <b val="1"/>
    </font>
  </fonts>
  <fills count="5">
    <fill>
      <patternFill/>
    </fill>
    <fill>
      <patternFill patternType="gray125"/>
    </fill>
    <fill>
      <patternFill patternType="solid">
        <fgColor rgb="00DCE6F1"/>
      </patternFill>
    </fill>
    <fill>
      <patternFill patternType="solid">
        <fgColor rgb="00FFF2CC"/>
      </patternFill>
    </fill>
    <fill>
      <patternFill patternType="solid">
        <fgColor rgb="00F4B6B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3" borderId="1" applyAlignment="1" pivotButton="0" quotePrefix="0" xfId="0">
      <alignment vertical="top" wrapText="1"/>
    </xf>
    <xf numFmtId="164"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Сөздердің бүгінгі мәртебесі</a:t>
            </a:r>
          </a:p>
        </rich>
      </tx>
    </title>
    <plotArea>
      <barChart>
        <barDir val="bar"/>
        <grouping val="stacked"/>
        <ser>
          <idx val="0"/>
          <order val="0"/>
          <tx>
            <strRef>
              <f>'Қорытынды'!B2</f>
            </strRef>
          </tx>
          <spPr>
            <a:ln xmlns:a="http://schemas.openxmlformats.org/drawingml/2006/main">
              <a:prstDash val="solid"/>
            </a:ln>
          </spPr>
          <cat>
            <numRef>
              <f>'Қорытынды'!$A$3:$A$8</f>
            </numRef>
          </cat>
          <val>
            <numRef>
              <f>'Қорытынды'!$B$3:$B$8</f>
            </numRef>
          </val>
        </ser>
        <ser>
          <idx val="1"/>
          <order val="1"/>
          <tx>
            <strRef>
              <f>'Қорытынды'!C2</f>
            </strRef>
          </tx>
          <spPr>
            <a:ln xmlns:a="http://schemas.openxmlformats.org/drawingml/2006/main">
              <a:prstDash val="solid"/>
            </a:ln>
          </spPr>
          <cat>
            <numRef>
              <f>'Қорытынды'!$A$3:$A$8</f>
            </numRef>
          </cat>
          <val>
            <numRef>
              <f>'Қорытынды'!$C$3:$C$8</f>
            </numRef>
          </val>
        </ser>
        <ser>
          <idx val="2"/>
          <order val="2"/>
          <tx>
            <strRef>
              <f>'Қорытынды'!D2</f>
            </strRef>
          </tx>
          <spPr>
            <a:ln xmlns:a="http://schemas.openxmlformats.org/drawingml/2006/main">
              <a:prstDash val="solid"/>
            </a:ln>
          </spPr>
          <cat>
            <numRef>
              <f>'Қорытынды'!$A$3:$A$8</f>
            </numRef>
          </cat>
          <val>
            <numRef>
              <f>'Қорытынды'!$D$3:$D$8</f>
            </numRef>
          </val>
        </ser>
        <ser>
          <idx val="3"/>
          <order val="3"/>
          <tx>
            <strRef>
              <f>'Қорытынды'!E2</f>
            </strRef>
          </tx>
          <spPr>
            <a:ln xmlns:a="http://schemas.openxmlformats.org/drawingml/2006/main">
              <a:prstDash val="solid"/>
            </a:ln>
          </spPr>
          <cat>
            <numRef>
              <f>'Қорытынды'!$A$3:$A$8</f>
            </numRef>
          </cat>
          <val>
            <numRef>
              <f>'Қорытынды'!$E$3:$E$8</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Сөзді дұрыс түсіндіргендер, %</a:t>
            </a:r>
          </a:p>
        </rich>
      </tx>
    </title>
    <plotArea>
      <barChart>
        <barDir val="col"/>
        <grouping val="clustered"/>
        <ser>
          <idx val="0"/>
          <order val="0"/>
          <tx>
            <strRef>
              <f>'Қорытынды'!B12</f>
            </strRef>
          </tx>
          <spPr>
            <a:ln xmlns:a="http://schemas.openxmlformats.org/drawingml/2006/main">
              <a:prstDash val="solid"/>
            </a:ln>
          </spPr>
          <cat>
            <numRef>
              <f>'Қорытынды'!$A$13:$A$24</f>
            </numRef>
          </cat>
          <val>
            <numRef>
              <f>'Қорытынды'!$B$13:$B$24</f>
            </numRef>
          </val>
        </ser>
        <ser>
          <idx val="1"/>
          <order val="1"/>
          <tx>
            <strRef>
              <f>'Қорытынды'!C12</f>
            </strRef>
          </tx>
          <spPr>
            <a:ln xmlns:a="http://schemas.openxmlformats.org/drawingml/2006/main">
              <a:prstDash val="solid"/>
            </a:ln>
          </spPr>
          <cat>
            <numRef>
              <f>'Қорытынды'!$A$13:$A$24</f>
            </numRef>
          </cat>
          <val>
            <numRef>
              <f>'Қорытынды'!$C$13:$C$24</f>
            </numRef>
          </val>
        </ser>
        <ser>
          <idx val="2"/>
          <order val="2"/>
          <tx>
            <strRef>
              <f>'Қорытынды'!D12</f>
            </strRef>
          </tx>
          <spPr>
            <a:ln xmlns:a="http://schemas.openxmlformats.org/drawingml/2006/main">
              <a:prstDash val="solid"/>
            </a:ln>
          </spPr>
          <cat>
            <numRef>
              <f>'Қорытынды'!$A$13:$A$24</f>
            </numRef>
          </cat>
          <val>
            <numRef>
              <f>'Қорытынды'!$D$13:$D$24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Тексеру</author>
  </authors>
  <commentList>
    <comment ref="J14" authorId="0" shapeId="0">
      <text>
        <t>Бұл бағанға тек 0 не 1 жазылады. Қатысушыдан қайта сұраңыз.</t>
      </text>
    </comment>
    <comment ref="L14" authorId="0" shapeId="0">
      <text>
        <t>Бұл бағанға тек 0 не 1 жазылады. Қатысушыдан қайта сұраңыз.</t>
      </text>
    </comment>
    <comment ref="P14" authorId="0" shapeId="0">
      <text>
        <t>Бұл бағанға тек 0 не 1 жазылады. Қатысушыдан қайта сұраңыз.</t>
      </text>
    </comment>
    <comment ref="R14" authorId="0" shapeId="0">
      <text>
        <t>Бұл бағанға тек 0 не 1 жазылады. Қатысушыдан қайта сұраңыз.</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17</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20" customWidth="1" min="1" max="1"/>
  </cols>
  <sheetData>
    <row r="1">
      <c r="A1" s="1" t="inlineStr">
        <is>
          <t>ЗЕРТТЕУ КЕСТЕСІН ТОЛТЫРУ НҰСҚАУЫ</t>
        </is>
      </c>
    </row>
    <row r="2">
      <c r="A2" s="2" t="inlineStr">
        <is>
          <t>Сары ұяшықтарды ғана толтырыңыз. «Мәртебе» бағаны мен «Қорытынды» парағы өздігінен есептеледі. Парақтарды, бағандарды өшірмеңіз.</t>
        </is>
      </c>
    </row>
    <row r="3">
      <c r="A3" s="2" t="inlineStr"/>
    </row>
    <row r="4">
      <c r="A4" s="1" t="inlineStr">
        <is>
          <t>1-КЕЗЕҢ. Сөздікпен тексеру («Сөздер» парағы)</t>
        </is>
      </c>
    </row>
    <row r="5">
      <c r="A5" s="2" t="inlineStr">
        <is>
          <t>1. Әр сөзді «Қазақ әдеби тілінің сөздігінен» (15 томдық) тауып, оның жанындағы белгіні жазыңыз: «көн.» (көнерген), «тар.» (тарихи), белгі жоқ немесе сөздікте жоқ.</t>
        </is>
      </c>
    </row>
    <row r="6">
      <c r="A6" s="2" t="inlineStr">
        <is>
          <t>2. Томын көрсетіңіз. Сөздікте берілген анықтаманы «Мағынасы» бағанына көшіріп алуға болады.</t>
        </is>
      </c>
    </row>
    <row r="7">
      <c r="A7" s="2" t="inlineStr"/>
    </row>
    <row r="8">
      <c r="A8" s="1" t="inlineStr">
        <is>
          <t>2-КЕЗЕҢ. БАҚ мониторингі («БАҚ мониторингі» парағы)</t>
        </is>
      </c>
    </row>
    <row r="9">
      <c r="A9" s="2" t="inlineStr">
        <is>
          <t>3. Google іздеу жолына: site:egemen.kz "сауыт" деп жазыңыз. «Құралдар» → «Кез келген уақыт» → «Соңғы жыл» таңдаңыз. Шыққан нәтиже санын жазыңыз (мысалы, «Шамамен 45 нәтиже» болса – 45). Нәтиже жоқ болса – 0.</t>
        </is>
      </c>
    </row>
    <row r="10">
      <c r="A10" s="2" t="inlineStr">
        <is>
          <t>4. Барлық сөзді бір-екі күн ішінде тексеріңіз, күнін жазыңыз.</t>
        </is>
      </c>
    </row>
    <row r="11">
      <c r="A11" s="2" t="inlineStr">
        <is>
          <t>5. Ең жаңа мақаланы ашып, сөз ТҰРҒАН сөйлемді көшіріп алыңыз (мақаланың бірінші сөйлемін емес) және сілтемесін жазыңыз. Сөйлемнің мәнмәтінін бір кодпен белгілеңіз:</t>
        </is>
      </c>
    </row>
    <row r="12">
      <c r="A12" s="2" t="inlineStr">
        <is>
          <t xml:space="preserve">     Ж – Жаңа мағынада: Сөз бүгінгі өмірдегі нәрсені атайды: «Мемлекет басшысының Жарлығы», «аудан әкімі»</t>
        </is>
      </c>
    </row>
    <row r="13">
      <c r="A13" s="2" t="inlineStr">
        <is>
          <t xml:space="preserve">     А – Атау ішінде: Сөз ұйымның, дүкеннің, жобаның, марапаттың не команданың атауында тұр: «Тұлпар» клубы</t>
        </is>
      </c>
    </row>
    <row r="14">
      <c r="A14" s="2" t="inlineStr">
        <is>
          <t xml:space="preserve">     Т – Тарихи-мәдени мәтінде: Сөз тарих, мұражай, әдебиет, этнография туралы мақалада өз мағынасында қолданылған</t>
        </is>
      </c>
    </row>
    <row r="15">
      <c r="A15" s="2" t="inlineStr">
        <is>
          <t xml:space="preserve">     Б – Бейнелі мағынада: Сөз ауыспалы мағынада қолданылған: «білім – сауыт», «ой тұлпары»</t>
        </is>
      </c>
    </row>
    <row r="16">
      <c r="A16" s="2" t="inlineStr"/>
    </row>
    <row r="17">
      <c r="A17" s="1" t="inlineStr">
        <is>
          <t>3-КЕЗЕҢ. Үш буынға сөз тану тесті («Тест» парағы)</t>
        </is>
      </c>
    </row>
    <row r="18">
      <c r="A18" s="2" t="inlineStr">
        <is>
          <t>6. Әр буыннан 6 адам: оқушылар, ата-аналар, ата-әжелер. Келісімін алыңыз (оқушылар үшін – ата-анасының келісімі). Есімдерін жазбаңыз – тек код.</t>
        </is>
      </c>
    </row>
    <row r="19">
      <c r="A19" s="2" t="inlineStr">
        <is>
          <t>7. Әр сөзді атап: «Бұл сөздің мағынасы қандай?» деп сұраңыз. 2 – дұрыс түсіндірді, 1 – шамамен түсіндірді, 0 – білмейді. Сөздің мағынасын айтып, көмектеспеңіз.</t>
        </is>
      </c>
    </row>
    <row r="20">
      <c r="A20" s="2" t="inlineStr">
        <is>
          <t>8. Сосын: «Бұл сөзді соңғы бір жылда естідіңіз бе немесе өзіңіз қолдандыңыз ба?» деп сұраңыз: 1 – иә, 0 – жоқ.</t>
        </is>
      </c>
    </row>
    <row r="21">
      <c r="A21" s="2" t="inlineStr"/>
    </row>
    <row r="22">
      <c r="A22" s="1" t="inlineStr">
        <is>
          <t>МӘРТЕБЕ ЕРЕЖЕСІ (жетекшіммен келісілген)</t>
        </is>
      </c>
    </row>
    <row r="23">
      <c r="A23" s="2" t="inlineStr">
        <is>
          <t>Ұ – нәтиже саны 5-тен аз болса; Ж – әйтпесе, мысал «Ж» болса; А – мысал «А» болса; Т – қалған жағдайда («Т» не «Б»).</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6" customWidth="1" min="3" max="3"/>
    <col width="14" customWidth="1" min="4" max="4"/>
    <col width="52" customWidth="1" min="5" max="5"/>
    <col width="14" customWidth="1" min="6" max="6"/>
    <col width="12" customWidth="1" min="7" max="7"/>
  </cols>
  <sheetData>
    <row r="1" ht="45" customHeight="1">
      <c r="A1" s="3" t="inlineStr">
        <is>
          <t>№</t>
        </is>
      </c>
      <c r="B1" s="3" t="inlineStr">
        <is>
          <t>Сөз</t>
        </is>
      </c>
      <c r="C1" s="3" t="inlineStr">
        <is>
          <t>Тақырыптық топ</t>
        </is>
      </c>
      <c r="D1" s="3" t="inlineStr">
        <is>
          <t>Түрі (алдын ала)</t>
        </is>
      </c>
      <c r="E1" s="3" t="inlineStr">
        <is>
          <t>Мағынасы</t>
        </is>
      </c>
      <c r="F1" s="3" t="inlineStr">
        <is>
          <t>Сөздіктегі белгі</t>
        </is>
      </c>
      <c r="G1" s="3" t="inlineStr">
        <is>
          <t>Томы</t>
        </is>
      </c>
    </row>
    <row r="2">
      <c r="A2" s="4" t="n">
        <v>1</v>
      </c>
      <c r="B2" s="5" t="inlineStr">
        <is>
          <t>сауыт</t>
        </is>
      </c>
      <c r="C2" s="5" t="inlineStr">
        <is>
          <t>Әскери іс және қару-жарақ</t>
        </is>
      </c>
      <c r="D2" s="4" t="inlineStr">
        <is>
          <t>Тарихи сөз</t>
        </is>
      </c>
      <c r="E2" s="5" t="inlineStr">
        <is>
          <t>темір сақиналардан тоқылған қорғаныс киімі</t>
        </is>
      </c>
      <c r="F2" s="6" t="inlineStr">
        <is>
          <t>белгі жоқ</t>
        </is>
      </c>
      <c r="G2" s="6" t="inlineStr">
        <is>
          <t>13-том</t>
        </is>
      </c>
    </row>
    <row r="3">
      <c r="A3" s="4" t="n">
        <v>2</v>
      </c>
      <c r="B3" s="5" t="inlineStr">
        <is>
          <t>дулыға</t>
        </is>
      </c>
      <c r="C3" s="5" t="inlineStr">
        <is>
          <t>Әскери іс және қару-жарақ</t>
        </is>
      </c>
      <c r="D3" s="4" t="inlineStr">
        <is>
          <t>Тарихи сөз</t>
        </is>
      </c>
      <c r="E3" s="5" t="inlineStr">
        <is>
          <t>Соғысқа шыққан батырлардың басына киетін темірден, жезден жасалған баскиім.</t>
        </is>
      </c>
      <c r="F3" s="6" t="inlineStr">
        <is>
          <t>көн.</t>
        </is>
      </c>
      <c r="G3" s="6" t="inlineStr">
        <is>
          <t>5-том</t>
        </is>
      </c>
    </row>
    <row r="4">
      <c r="A4" s="4" t="n">
        <v>3</v>
      </c>
      <c r="B4" s="5" t="inlineStr">
        <is>
          <t>садақ</t>
        </is>
      </c>
      <c r="C4" s="5" t="inlineStr">
        <is>
          <t>Әскери іс және қару-жарақ</t>
        </is>
      </c>
      <c r="D4" s="4" t="inlineStr">
        <is>
          <t>Тарихи сөз</t>
        </is>
      </c>
      <c r="E4" s="5" t="inlineStr">
        <is>
          <t>Тобылғы, үйеңкі т.б. ағаш шыбықтарынан доғаша иіп, екі ұшын қайыспен керіп жасаған жебе атуға арналған қол қаруы</t>
        </is>
      </c>
      <c r="F4" s="6" t="inlineStr">
        <is>
          <t>көн.</t>
        </is>
      </c>
      <c r="G4" s="6" t="inlineStr">
        <is>
          <t>12-том</t>
        </is>
      </c>
    </row>
    <row r="5">
      <c r="A5" s="4" t="n">
        <v>4</v>
      </c>
      <c r="B5" s="5" t="inlineStr">
        <is>
          <t>қорамсақ</t>
        </is>
      </c>
      <c r="C5" s="5" t="inlineStr">
        <is>
          <t>Әскери іс және қару-жарақ</t>
        </is>
      </c>
      <c r="D5" s="4" t="inlineStr">
        <is>
          <t>Тарихи сөз</t>
        </is>
      </c>
      <c r="E5" s="5" t="inlineStr">
        <is>
          <t>Садақ, жай оқтарын (жебесін) салып жүруге арналған, оқ салатын қалта, оқшантай.</t>
        </is>
      </c>
      <c r="F5" s="6" t="inlineStr">
        <is>
          <t>көн.</t>
        </is>
      </c>
      <c r="G5" s="6" t="inlineStr">
        <is>
          <t>10-том</t>
        </is>
      </c>
    </row>
    <row r="6">
      <c r="A6" s="4" t="n">
        <v>5</v>
      </c>
      <c r="B6" s="5" t="inlineStr">
        <is>
          <t>сарбаз</t>
        </is>
      </c>
      <c r="C6" s="5" t="inlineStr">
        <is>
          <t>Әскери іс және қару-жарақ</t>
        </is>
      </c>
      <c r="D6" s="4" t="inlineStr">
        <is>
          <t>Архаизм</t>
        </is>
      </c>
      <c r="E6" s="5" t="inlineStr">
        <is>
          <t>жауынгер, әскери адам</t>
        </is>
      </c>
      <c r="F6" s="6" t="inlineStr">
        <is>
          <t>белгі жоқ</t>
        </is>
      </c>
      <c r="G6" s="6" t="inlineStr">
        <is>
          <t>12-том</t>
        </is>
      </c>
    </row>
    <row r="7">
      <c r="A7" s="4" t="n">
        <v>6</v>
      </c>
      <c r="B7" s="5" t="inlineStr">
        <is>
          <t>жасақ</t>
        </is>
      </c>
      <c r="C7" s="5" t="inlineStr">
        <is>
          <t>Әскери іс және қару-жарақ</t>
        </is>
      </c>
      <c r="D7" s="4" t="inlineStr">
        <is>
          <t>Архаизм</t>
        </is>
      </c>
      <c r="E7" s="5" t="inlineStr">
        <is>
          <t>Тайпа көсемінің, ханның төңірегінде топтасқан жауынгерлердің жалпы атауы.</t>
        </is>
      </c>
      <c r="F7" s="6" t="inlineStr">
        <is>
          <t>көн.</t>
        </is>
      </c>
      <c r="G7" s="6" t="inlineStr">
        <is>
          <t>6-том</t>
        </is>
      </c>
    </row>
    <row r="8">
      <c r="A8" s="4" t="n">
        <v>7</v>
      </c>
      <c r="B8" s="5" t="inlineStr">
        <is>
          <t>болыс</t>
        </is>
      </c>
      <c r="C8" s="5" t="inlineStr">
        <is>
          <t>Билік және басқару</t>
        </is>
      </c>
      <c r="D8" s="4" t="inlineStr">
        <is>
          <t>Тарихи сөз</t>
        </is>
      </c>
      <c r="E8" s="5" t="inlineStr">
        <is>
          <t>Патшалық Ресей қол астындағы Қазақстанның аумақтық әкімшілік бөлігі</t>
        </is>
      </c>
      <c r="F8" s="6" t="inlineStr">
        <is>
          <t>тар.</t>
        </is>
      </c>
      <c r="G8" s="6" t="inlineStr">
        <is>
          <t>3-том</t>
        </is>
      </c>
    </row>
    <row r="9">
      <c r="A9" s="4" t="n">
        <v>8</v>
      </c>
      <c r="B9" s="5" t="inlineStr">
        <is>
          <t>ауылнай</t>
        </is>
      </c>
      <c r="C9" s="5" t="inlineStr">
        <is>
          <t>Билік және басқару</t>
        </is>
      </c>
      <c r="D9" s="4" t="inlineStr">
        <is>
          <t>Тарихи сөз</t>
        </is>
      </c>
      <c r="E9" s="5" t="inlineStr">
        <is>
          <t>XX ғ. басында қазақ ауылдарында басқару мәселелерін шешумен және жер бөлінісімен айналысқан жергілікті билік иесі, Қазақстандағы патшалық Ресей билігінің ең төменгі қызметіндегі адам.</t>
        </is>
      </c>
      <c r="F9" s="6" t="inlineStr">
        <is>
          <t>тар.</t>
        </is>
      </c>
      <c r="G9" s="6" t="inlineStr">
        <is>
          <t>2-том</t>
        </is>
      </c>
    </row>
    <row r="10">
      <c r="A10" s="4" t="n">
        <v>9</v>
      </c>
      <c r="B10" s="5" t="inlineStr">
        <is>
          <t>уәзір</t>
        </is>
      </c>
      <c r="C10" s="5" t="inlineStr">
        <is>
          <t>Билік және басқару</t>
        </is>
      </c>
      <c r="D10" s="4" t="inlineStr">
        <is>
          <t>Тарихи сөз</t>
        </is>
      </c>
      <c r="E10" s="5" t="inlineStr">
        <is>
          <t>Кейбір шығыс елдерінің ел билеуші ханының немесе патшасының ақылшысы, кеңесшісі; лауазым аты.</t>
        </is>
      </c>
      <c r="F10" s="6" t="inlineStr">
        <is>
          <t>көн.</t>
        </is>
      </c>
      <c r="G10" s="6" t="inlineStr">
        <is>
          <t>14-том</t>
        </is>
      </c>
    </row>
    <row r="11">
      <c r="A11" s="4" t="n">
        <v>10</v>
      </c>
      <c r="B11" s="5" t="inlineStr">
        <is>
          <t>әкім</t>
        </is>
      </c>
      <c r="C11" s="5" t="inlineStr">
        <is>
          <t>Билік және басқару</t>
        </is>
      </c>
      <c r="D11" s="4" t="inlineStr">
        <is>
          <t>Архаизм</t>
        </is>
      </c>
      <c r="E11" s="5" t="inlineStr">
        <is>
          <t>Елге билік жүргізші, ел басқарушы</t>
        </is>
      </c>
      <c r="F11" s="6" t="inlineStr">
        <is>
          <t>белгі жоқ</t>
        </is>
      </c>
      <c r="G11" s="6" t="inlineStr">
        <is>
          <t>2-том</t>
        </is>
      </c>
    </row>
    <row r="12">
      <c r="A12" s="4" t="n">
        <v>11</v>
      </c>
      <c r="B12" s="5" t="inlineStr">
        <is>
          <t>құрылтай</t>
        </is>
      </c>
      <c r="C12" s="5" t="inlineStr">
        <is>
          <t>Билік және басқару</t>
        </is>
      </c>
      <c r="D12" s="4" t="inlineStr">
        <is>
          <t>Тарихи сөз</t>
        </is>
      </c>
      <c r="E12" s="5" t="inlineStr">
        <is>
          <t>ел ісін шешетін үлкен жиын</t>
        </is>
      </c>
      <c r="F12" s="6" t="inlineStr">
        <is>
          <t>тар.</t>
        </is>
      </c>
      <c r="G12" s="6" t="inlineStr">
        <is>
          <t>10-том</t>
        </is>
      </c>
    </row>
    <row r="13">
      <c r="A13" s="4" t="n">
        <v>12</v>
      </c>
      <c r="B13" s="5" t="inlineStr">
        <is>
          <t>елші</t>
        </is>
      </c>
      <c r="C13" s="5" t="inlineStr">
        <is>
          <t>Билік және басқару</t>
        </is>
      </c>
      <c r="D13" s="4" t="inlineStr">
        <is>
          <t>Архаизм</t>
        </is>
      </c>
      <c r="E13" s="5" t="inlineStr">
        <is>
          <t>бір елден екінші елге жіберілген өкіл</t>
        </is>
      </c>
      <c r="F13" s="6" t="inlineStr">
        <is>
          <t>белгі жоқ</t>
        </is>
      </c>
      <c r="G13" s="6" t="inlineStr">
        <is>
          <t>5-том</t>
        </is>
      </c>
    </row>
    <row r="14">
      <c r="A14" s="4" t="n">
        <v>13</v>
      </c>
      <c r="B14" s="5" t="inlineStr">
        <is>
          <t>жарлық</t>
        </is>
      </c>
      <c r="C14" s="5" t="inlineStr">
        <is>
          <t>Қоғам, заң, құжат</t>
        </is>
      </c>
      <c r="D14" s="4" t="inlineStr">
        <is>
          <t>Архаизм</t>
        </is>
      </c>
      <c r="E14" s="5" t="inlineStr">
        <is>
          <t>Орта ғасырлардағы түркі мемлекеттеріндегі ханның немесе әскер басыларының бұйрығы.</t>
        </is>
      </c>
      <c r="F14" s="6" t="inlineStr">
        <is>
          <t>тар.</t>
        </is>
      </c>
      <c r="G14" s="6" t="inlineStr">
        <is>
          <t>6-том</t>
        </is>
      </c>
    </row>
    <row r="15">
      <c r="A15" s="4" t="n">
        <v>14</v>
      </c>
      <c r="B15" s="5" t="inlineStr">
        <is>
          <t>мәжіліс</t>
        </is>
      </c>
      <c r="C15" s="5" t="inlineStr">
        <is>
          <t>Қоғам, заң, құжат</t>
        </is>
      </c>
      <c r="D15" s="4" t="inlineStr">
        <is>
          <t>Архаизм</t>
        </is>
      </c>
      <c r="E15" s="5" t="inlineStr">
        <is>
          <t>жиналыс, кеңес</t>
        </is>
      </c>
      <c r="F15" s="6" t="inlineStr">
        <is>
          <t>белгі жоқ</t>
        </is>
      </c>
      <c r="G15" s="6" t="inlineStr">
        <is>
          <t>11-том</t>
        </is>
      </c>
    </row>
    <row r="16">
      <c r="A16" s="4" t="n">
        <v>15</v>
      </c>
      <c r="B16" s="5" t="inlineStr">
        <is>
          <t>кеден</t>
        </is>
      </c>
      <c r="C16" s="5" t="inlineStr">
        <is>
          <t>Қоғам, заң, құжат</t>
        </is>
      </c>
      <c r="D16" s="4" t="inlineStr">
        <is>
          <t>Архаизм</t>
        </is>
      </c>
      <c r="E16" s="5" t="inlineStr">
        <is>
          <t>шекарада тауардан баж алатын орын</t>
        </is>
      </c>
      <c r="F16" s="6" t="inlineStr">
        <is>
          <t>белгі жоқ</t>
        </is>
      </c>
      <c r="G16" s="6" t="inlineStr">
        <is>
          <t>7-том</t>
        </is>
      </c>
    </row>
    <row r="17">
      <c r="A17" s="4" t="n">
        <v>16</v>
      </c>
      <c r="B17" s="5" t="inlineStr">
        <is>
          <t>ұлық</t>
        </is>
      </c>
      <c r="C17" s="5" t="inlineStr">
        <is>
          <t>Қоғам, заң, құжат</t>
        </is>
      </c>
      <c r="D17" s="4" t="inlineStr">
        <is>
          <t>Архаизм</t>
        </is>
      </c>
      <c r="E17" s="5" t="inlineStr">
        <is>
          <t>Ертеректегі қазақ қоғамындағы ел билеуші әлеуметтік топ өкілі.</t>
        </is>
      </c>
      <c r="F17" s="6" t="inlineStr">
        <is>
          <t>көн.</t>
        </is>
      </c>
      <c r="G17" s="6" t="inlineStr">
        <is>
          <t>14-том</t>
        </is>
      </c>
    </row>
    <row r="18">
      <c r="A18" s="4" t="n">
        <v>17</v>
      </c>
      <c r="B18" s="5" t="inlineStr">
        <is>
          <t>пәрмен</t>
        </is>
      </c>
      <c r="C18" s="5" t="inlineStr">
        <is>
          <t>Қоғам, заң, құжат</t>
        </is>
      </c>
      <c r="D18" s="4" t="inlineStr">
        <is>
          <t>Архаизм</t>
        </is>
      </c>
      <c r="E18" s="5" t="inlineStr">
        <is>
          <t>бұйрық, үкім</t>
        </is>
      </c>
      <c r="F18" s="6" t="inlineStr">
        <is>
          <t>белгі жоқ</t>
        </is>
      </c>
      <c r="G18" s="6" t="inlineStr">
        <is>
          <t>5-том</t>
        </is>
      </c>
    </row>
    <row r="19">
      <c r="A19" s="4" t="n">
        <v>18</v>
      </c>
      <c r="B19" s="5" t="inlineStr">
        <is>
          <t>жәдігер</t>
        </is>
      </c>
      <c r="C19" s="5" t="inlineStr">
        <is>
          <t>Қоғам, заң, құжат</t>
        </is>
      </c>
      <c r="D19" s="4" t="inlineStr">
        <is>
          <t>Архаизм</t>
        </is>
      </c>
      <c r="E19" s="5" t="inlineStr">
        <is>
          <t>өткеннен қалған зат, ескерткіш</t>
        </is>
      </c>
      <c r="F19" s="6" t="inlineStr">
        <is>
          <t>көн.</t>
        </is>
      </c>
      <c r="G19" s="6" t="inlineStr">
        <is>
          <t>6-том</t>
        </is>
      </c>
    </row>
    <row r="20">
      <c r="A20" s="4" t="n">
        <v>19</v>
      </c>
      <c r="B20" s="5" t="inlineStr">
        <is>
          <t>теңге</t>
        </is>
      </c>
      <c r="C20" s="5" t="inlineStr">
        <is>
          <t>Өлшем және ақша</t>
        </is>
      </c>
      <c r="D20" s="4" t="inlineStr">
        <is>
          <t>Архаизм</t>
        </is>
      </c>
      <c r="E20" s="5" t="inlineStr">
        <is>
          <t>күміс ақша</t>
        </is>
      </c>
      <c r="F20" s="6" t="inlineStr">
        <is>
          <t>белгі жоқ</t>
        </is>
      </c>
      <c r="G20" s="6" t="inlineStr">
        <is>
          <t>14-том</t>
        </is>
      </c>
    </row>
    <row r="21">
      <c r="A21" s="4" t="n">
        <v>20</v>
      </c>
      <c r="B21" s="5" t="inlineStr">
        <is>
          <t>тиын</t>
        </is>
      </c>
      <c r="C21" s="5" t="inlineStr">
        <is>
          <t>Өлшем және ақша</t>
        </is>
      </c>
      <c r="D21" s="4" t="inlineStr">
        <is>
          <t>Архаизм</t>
        </is>
      </c>
      <c r="E21" s="5" t="inlineStr">
        <is>
          <t>ұсақ ақша</t>
        </is>
      </c>
      <c r="F21" s="6" t="inlineStr">
        <is>
          <t>белгі жоқ</t>
        </is>
      </c>
      <c r="G21" s="6" t="inlineStr">
        <is>
          <t>14-том</t>
        </is>
      </c>
    </row>
    <row r="22">
      <c r="A22" s="4" t="n">
        <v>21</v>
      </c>
      <c r="B22" s="5" t="inlineStr">
        <is>
          <t>пұт</t>
        </is>
      </c>
      <c r="C22" s="5" t="inlineStr">
        <is>
          <t>Өлшем және ақша</t>
        </is>
      </c>
      <c r="D22" s="4" t="inlineStr">
        <is>
          <t>Тарихи сөз</t>
        </is>
      </c>
      <c r="E22" s="5" t="inlineStr">
        <is>
          <t>16 килограмға жуық салмақ өлшемі</t>
        </is>
      </c>
      <c r="F22" s="6" t="inlineStr">
        <is>
          <t>белгі жоқ</t>
        </is>
      </c>
      <c r="G22" s="6" t="inlineStr">
        <is>
          <t>12-том</t>
        </is>
      </c>
    </row>
    <row r="23">
      <c r="A23" s="4" t="n">
        <v>22</v>
      </c>
      <c r="B23" s="5" t="inlineStr">
        <is>
          <t>батпан</t>
        </is>
      </c>
      <c r="C23" s="5" t="inlineStr">
        <is>
          <t>Өлшем және ақша</t>
        </is>
      </c>
      <c r="D23" s="4" t="inlineStr">
        <is>
          <t>Тарихи сөз</t>
        </is>
      </c>
      <c r="E23" s="5" t="inlineStr">
        <is>
          <t>Салмағы 4 пен 16, кейде 12 пұтқа дейінгі ауырлықты білдіретін өлшем атауы.</t>
        </is>
      </c>
      <c r="F23" s="6" t="inlineStr">
        <is>
          <t>көн.</t>
        </is>
      </c>
      <c r="G23" s="6" t="inlineStr">
        <is>
          <t>3-том</t>
        </is>
      </c>
    </row>
    <row r="24">
      <c r="A24" s="4" t="n">
        <v>23</v>
      </c>
      <c r="B24" s="5" t="inlineStr">
        <is>
          <t>құлаш</t>
        </is>
      </c>
      <c r="C24" s="5" t="inlineStr">
        <is>
          <t>Өлшем және ақша</t>
        </is>
      </c>
      <c r="D24" s="4" t="inlineStr">
        <is>
          <t>Тарихи сөз</t>
        </is>
      </c>
      <c r="E24" s="5" t="inlineStr">
        <is>
          <t>екі қолды жайғандағы ұзындық өлшемі</t>
        </is>
      </c>
      <c r="F24" s="6" t="inlineStr">
        <is>
          <t>белгі жоқ</t>
        </is>
      </c>
      <c r="G24" s="6" t="inlineStr">
        <is>
          <t>10-том</t>
        </is>
      </c>
    </row>
    <row r="25">
      <c r="A25" s="4" t="n">
        <v>24</v>
      </c>
      <c r="B25" s="5" t="inlineStr">
        <is>
          <t>шақырым</t>
        </is>
      </c>
      <c r="C25" s="5" t="inlineStr">
        <is>
          <t>Өлшем және ақша</t>
        </is>
      </c>
      <c r="D25" s="4" t="inlineStr">
        <is>
          <t>Архаизм</t>
        </is>
      </c>
      <c r="E25" s="5" t="inlineStr">
        <is>
          <t>шамамен бір километрге тең қашықтық</t>
        </is>
      </c>
      <c r="F25" s="6" t="inlineStr">
        <is>
          <t>белгі жоқ</t>
        </is>
      </c>
      <c r="G25" s="6" t="inlineStr">
        <is>
          <t>6-том</t>
        </is>
      </c>
    </row>
    <row r="26">
      <c r="A26" s="4" t="n">
        <v>25</v>
      </c>
      <c r="B26" s="5" t="inlineStr">
        <is>
          <t>сәукеле</t>
        </is>
      </c>
      <c r="C26" s="5" t="inlineStr">
        <is>
          <t>Киім және тұрмыс</t>
        </is>
      </c>
      <c r="D26" s="4" t="inlineStr">
        <is>
          <t>Тарихи сөз</t>
        </is>
      </c>
      <c r="E26" s="5" t="inlineStr">
        <is>
          <t>қалыңдықтың биік, сәнді бас киімі</t>
        </is>
      </c>
      <c r="F26" s="6" t="inlineStr">
        <is>
          <t>белгі жоқ</t>
        </is>
      </c>
      <c r="G26" s="6" t="inlineStr">
        <is>
          <t>13-том</t>
        </is>
      </c>
    </row>
    <row r="27">
      <c r="A27" s="4" t="n">
        <v>26</v>
      </c>
      <c r="B27" s="5" t="inlineStr">
        <is>
          <t>кимешек</t>
        </is>
      </c>
      <c r="C27" s="5" t="inlineStr">
        <is>
          <t>Киім және тұрмыс</t>
        </is>
      </c>
      <c r="D27" s="4" t="inlineStr">
        <is>
          <t>Тарихи сөз</t>
        </is>
      </c>
      <c r="E27" s="5" t="inlineStr">
        <is>
          <t>үлкен кісі әйелдің ақ матадан тігілген бас киімі</t>
        </is>
      </c>
      <c r="F27" s="6" t="inlineStr">
        <is>
          <t>белгі жоқ</t>
        </is>
      </c>
      <c r="G27" s="6" t="inlineStr">
        <is>
          <t>8-том</t>
        </is>
      </c>
    </row>
    <row r="28">
      <c r="A28" s="4" t="n">
        <v>27</v>
      </c>
      <c r="B28" s="5" t="inlineStr">
        <is>
          <t>шекпен</t>
        </is>
      </c>
      <c r="C28" s="5" t="inlineStr">
        <is>
          <t>Киім және тұрмыс</t>
        </is>
      </c>
      <c r="D28" s="4" t="inlineStr">
        <is>
          <t>Тарихи сөз</t>
        </is>
      </c>
      <c r="E28" s="5" t="inlineStr">
        <is>
          <t>түйе жүнінен тоқылған сырт киім</t>
        </is>
      </c>
      <c r="F28" s="6" t="inlineStr">
        <is>
          <t>сөздікте жоқ</t>
        </is>
      </c>
      <c r="G28" s="6" t="n"/>
    </row>
    <row r="29">
      <c r="A29" s="4" t="n">
        <v>28</v>
      </c>
      <c r="B29" s="5" t="inlineStr">
        <is>
          <t>кебенек</t>
        </is>
      </c>
      <c r="C29" s="5" t="inlineStr">
        <is>
          <t>Киім және тұрмыс</t>
        </is>
      </c>
      <c r="D29" s="4" t="inlineStr">
        <is>
          <t>Тарихи сөз</t>
        </is>
      </c>
      <c r="E29" s="5" t="inlineStr">
        <is>
          <t>киізден тігілген, жаңбыр өткізбейтін шапан</t>
        </is>
      </c>
      <c r="F29" s="6" t="inlineStr">
        <is>
          <t>көн.</t>
        </is>
      </c>
      <c r="G29" s="6" t="inlineStr">
        <is>
          <t>7-том</t>
        </is>
      </c>
    </row>
    <row r="30">
      <c r="A30" s="4" t="n">
        <v>29</v>
      </c>
      <c r="B30" s="5" t="inlineStr">
        <is>
          <t>кебеже</t>
        </is>
      </c>
      <c r="C30" s="5" t="inlineStr">
        <is>
          <t>Киім және тұрмыс</t>
        </is>
      </c>
      <c r="D30" s="4" t="inlineStr">
        <is>
          <t>Тарихи сөз</t>
        </is>
      </c>
      <c r="E30" s="5" t="inlineStr">
        <is>
          <t>ыдыс-аяқ пен тамақ салатын ағаш сандық</t>
        </is>
      </c>
      <c r="F30" s="6" t="inlineStr">
        <is>
          <t>көн.</t>
        </is>
      </c>
      <c r="G30" s="6" t="inlineStr">
        <is>
          <t>7-том</t>
        </is>
      </c>
    </row>
    <row r="31">
      <c r="A31" s="4" t="n">
        <v>30</v>
      </c>
      <c r="B31" s="5" t="inlineStr">
        <is>
          <t>саба</t>
        </is>
      </c>
      <c r="C31" s="5" t="inlineStr">
        <is>
          <t>Киім және тұрмыс</t>
        </is>
      </c>
      <c r="D31" s="4" t="inlineStr">
        <is>
          <t>Тарихи сөз</t>
        </is>
      </c>
      <c r="E31" s="5" t="inlineStr">
        <is>
          <t>қымыз ашытатын теріден жасалған ыдыс</t>
        </is>
      </c>
      <c r="F31" s="6" t="inlineStr">
        <is>
          <t>белгі жоқ</t>
        </is>
      </c>
      <c r="G31" s="6" t="inlineStr">
        <is>
          <t>12-том</t>
        </is>
      </c>
    </row>
    <row r="32">
      <c r="A32" s="4" t="n">
        <v>31</v>
      </c>
      <c r="B32" s="5" t="inlineStr">
        <is>
          <t>ләшкер</t>
        </is>
      </c>
      <c r="C32" s="5" t="inlineStr">
        <is>
          <t>Баламасы бар көне сөздер</t>
        </is>
      </c>
      <c r="D32" s="4" t="inlineStr">
        <is>
          <t>Архаизм</t>
        </is>
      </c>
      <c r="E32" s="5" t="inlineStr">
        <is>
          <t>әскер</t>
        </is>
      </c>
      <c r="F32" s="6" t="inlineStr">
        <is>
          <t>көн.</t>
        </is>
      </c>
      <c r="G32" s="6" t="inlineStr">
        <is>
          <t>10-том</t>
        </is>
      </c>
    </row>
    <row r="33">
      <c r="A33" s="4" t="n">
        <v>32</v>
      </c>
      <c r="B33" s="5" t="inlineStr">
        <is>
          <t>тамұқ</t>
        </is>
      </c>
      <c r="C33" s="5" t="inlineStr">
        <is>
          <t>Баламасы бар көне сөздер</t>
        </is>
      </c>
      <c r="D33" s="4" t="inlineStr">
        <is>
          <t>Архаизм</t>
        </is>
      </c>
      <c r="E33" s="5" t="inlineStr">
        <is>
          <t>тозақ</t>
        </is>
      </c>
      <c r="F33" s="6" t="inlineStr">
        <is>
          <t>белгі жоқ</t>
        </is>
      </c>
      <c r="G33" s="6" t="inlineStr">
        <is>
          <t>13-том</t>
        </is>
      </c>
    </row>
    <row r="34">
      <c r="A34" s="4" t="n">
        <v>33</v>
      </c>
      <c r="B34" s="5" t="inlineStr">
        <is>
          <t>мейман</t>
        </is>
      </c>
      <c r="C34" s="5" t="inlineStr">
        <is>
          <t>Баламасы бар көне сөздер</t>
        </is>
      </c>
      <c r="D34" s="4" t="inlineStr">
        <is>
          <t>Архаизм</t>
        </is>
      </c>
      <c r="E34" s="5" t="inlineStr">
        <is>
          <t>қонақ</t>
        </is>
      </c>
      <c r="F34" s="6" t="inlineStr">
        <is>
          <t>белгі жоқ</t>
        </is>
      </c>
      <c r="G34" s="6" t="inlineStr">
        <is>
          <t>11-том</t>
        </is>
      </c>
    </row>
    <row r="35">
      <c r="A35" s="4" t="n">
        <v>34</v>
      </c>
      <c r="B35" s="5" t="inlineStr">
        <is>
          <t>ділмар</t>
        </is>
      </c>
      <c r="C35" s="5" t="inlineStr">
        <is>
          <t>Баламасы бар көне сөздер</t>
        </is>
      </c>
      <c r="D35" s="4" t="inlineStr">
        <is>
          <t>Архаизм</t>
        </is>
      </c>
      <c r="E35" s="5" t="inlineStr">
        <is>
          <t>сөзге шебер, шешен</t>
        </is>
      </c>
      <c r="F35" s="6" t="inlineStr">
        <is>
          <t>белгі жоқ</t>
        </is>
      </c>
      <c r="G35" s="6" t="inlineStr">
        <is>
          <t>5-том</t>
        </is>
      </c>
    </row>
    <row r="36">
      <c r="A36" s="4" t="n">
        <v>35</v>
      </c>
      <c r="B36" s="5" t="inlineStr">
        <is>
          <t>нөкер</t>
        </is>
      </c>
      <c r="C36" s="5" t="inlineStr">
        <is>
          <t>Баламасы бар көне сөздер</t>
        </is>
      </c>
      <c r="D36" s="4" t="inlineStr">
        <is>
          <t>Архаизм</t>
        </is>
      </c>
      <c r="E36" s="5" t="inlineStr">
        <is>
          <t>серік, қызметші</t>
        </is>
      </c>
      <c r="F36" s="6" t="inlineStr">
        <is>
          <t>тар.</t>
        </is>
      </c>
      <c r="G36" s="6" t="inlineStr">
        <is>
          <t>11-том</t>
        </is>
      </c>
    </row>
    <row r="37">
      <c r="A37" s="4" t="n">
        <v>36</v>
      </c>
      <c r="B37" s="5" t="inlineStr">
        <is>
          <t>тұлпар</t>
        </is>
      </c>
      <c r="C37" s="5" t="inlineStr">
        <is>
          <t>Баламасы бар көне сөздер</t>
        </is>
      </c>
      <c r="D37" s="4" t="inlineStr">
        <is>
          <t>Архаизм</t>
        </is>
      </c>
      <c r="E37" s="5" t="inlineStr">
        <is>
          <t>жүйрік ат</t>
        </is>
      </c>
      <c r="F37" s="6" t="inlineStr">
        <is>
          <t>белгі жоқ</t>
        </is>
      </c>
      <c r="G37" s="6" t="inlineStr">
        <is>
          <t>14-том</t>
        </is>
      </c>
    </row>
  </sheetData>
  <dataValidations count="1">
    <dataValidation sqref="F2 F3 F4 F5 F6 F7 F8 F9 F10 F11 F12 F13 F14 F15 F16 F17 F18 F19 F20 F21 F22 F23 F24 F25 F26 F27 F28 F29 F30 F31 F32 F33 F34 F35 F36 F37" showDropDown="0" showInputMessage="0" showErrorMessage="1" allowBlank="1" errorTitle="Қате мән" error="Тек мына мәндердің бірін жазыңыз: көн., тар., белгі жоқ, сөздікте жоқ" type="list">
      <formula1>"көн.,тар.,белгі жоқ,сөздікте жоқ"</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2" customWidth="1" min="3" max="3"/>
    <col width="12" customWidth="1" min="4" max="4"/>
    <col width="55" customWidth="1" min="5" max="5"/>
    <col width="30" customWidth="1" min="6" max="6"/>
    <col width="12" customWidth="1" min="7" max="7"/>
    <col width="10" customWidth="1" min="8" max="8"/>
  </cols>
  <sheetData>
    <row r="1" ht="45" customHeight="1">
      <c r="A1" s="3" t="inlineStr">
        <is>
          <t>№</t>
        </is>
      </c>
      <c r="B1" s="3" t="inlineStr">
        <is>
          <t>Сөз</t>
        </is>
      </c>
      <c r="C1" s="3" t="inlineStr">
        <is>
          <t>egemen.kz: нәтиже саны</t>
        </is>
      </c>
      <c r="D1" s="3" t="inlineStr">
        <is>
          <t>egemen.kz: мәнмәтін (код)</t>
        </is>
      </c>
      <c r="E1" s="3" t="inlineStr">
        <is>
          <t>Ең жаңа мысал (сөйлем)</t>
        </is>
      </c>
      <c r="F1" s="3" t="inlineStr">
        <is>
          <t>Сілтеме</t>
        </is>
      </c>
      <c r="G1" s="3" t="inlineStr">
        <is>
          <t>Тексерген күні</t>
        </is>
      </c>
      <c r="H1" s="3" t="inlineStr">
        <is>
          <t>Мәртебе</t>
        </is>
      </c>
    </row>
    <row r="2">
      <c r="A2" s="4" t="n">
        <v>1</v>
      </c>
      <c r="B2" s="5" t="inlineStr">
        <is>
          <t>сауыт</t>
        </is>
      </c>
      <c r="C2" s="6" t="n">
        <v>8</v>
      </c>
      <c r="D2" s="6" t="inlineStr">
        <is>
          <t>Т</t>
        </is>
      </c>
      <c r="E2" s="7" t="inlineStr">
        <is>
          <t>Батыс Қазақстан облыстық тарихи-өлкетану мұражайында «Атадан қалған ақ сауыт» атты ұлттық қару-жарақ көрмесі ашылды.</t>
        </is>
      </c>
      <c r="F2" s="7" t="inlineStr">
        <is>
          <t>https://egemen.kz/news/article413410-atadan-qalghan-aq-sauyt</t>
        </is>
      </c>
      <c r="G2" s="8" t="n">
        <v>46279</v>
      </c>
      <c r="H2" s="9">
        <f>IF(C2="","",IF(N(C2)&lt;5,"Ұ",IF(D2="Ж","Ж",IF(D2="А","А","Т"))))</f>
        <v/>
      </c>
    </row>
    <row r="3">
      <c r="A3" s="4" t="n">
        <v>2</v>
      </c>
      <c r="B3" s="5" t="inlineStr">
        <is>
          <t>дулыға</t>
        </is>
      </c>
      <c r="C3" s="6" t="n">
        <v>5</v>
      </c>
      <c r="D3" s="6" t="inlineStr">
        <is>
          <t>А</t>
        </is>
      </c>
      <c r="E3" s="7" t="inlineStr">
        <is>
          <t>7-8 ақпан аралығында Франция астанасы Парижде дзюдодан Үлкен дулыға санатындағы 2026 жылдың алғашқы жарысы өтеді.</t>
        </is>
      </c>
      <c r="F3" s="7" t="inlineStr">
        <is>
          <t>https://egemen.kz/news/article405388-paridgdegi-ulken-dulygha-turnirinde-el-namysyn-kimder-qorghaydy</t>
        </is>
      </c>
      <c r="G3" s="8" t="n">
        <v>46279</v>
      </c>
      <c r="H3" s="9">
        <f>IF(C3="","",IF(N(C3)&lt;5,"Ұ",IF(D3="Ж","Ж",IF(D3="А","А","Т"))))</f>
        <v/>
      </c>
    </row>
    <row r="4">
      <c r="A4" s="4" t="n">
        <v>3</v>
      </c>
      <c r="B4" s="5" t="inlineStr">
        <is>
          <t>садақ</t>
        </is>
      </c>
      <c r="C4" s="6" t="n">
        <v>10</v>
      </c>
      <c r="D4" s="6" t="inlineStr">
        <is>
          <t>Т</t>
        </is>
      </c>
      <c r="E4" s="7" t="inlineStr">
        <is>
          <t>Жапонияның Аичи және Нагоя қалаларында өтіп жатқан 2026 жылғы Азия ойындарында отандық спортшылардың 26 қыркүйектегі жарыс кестесі белгілі болды, деп хабарлайды Egemen.kz.</t>
        </is>
      </c>
      <c r="F4" s="7" t="inlineStr">
        <is>
          <t>https://egemen.kz/news/aziya-oyyndary-26-qyrkuyekte-zharys-zholyna-shygatyn-sportshylardyn-kestesi</t>
        </is>
      </c>
      <c r="G4" s="8" t="n">
        <v>46279</v>
      </c>
      <c r="H4" s="9">
        <f>IF(C4="","",IF(N(C4)&lt;5,"Ұ",IF(D4="Ж","Ж",IF(D4="А","А","Т"))))</f>
        <v/>
      </c>
    </row>
    <row r="5">
      <c r="A5" s="4" t="n">
        <v>4</v>
      </c>
      <c r="B5" s="5" t="inlineStr">
        <is>
          <t>қорамсақ</t>
        </is>
      </c>
      <c r="C5" s="6" t="n">
        <v>10</v>
      </c>
      <c r="D5" s="6" t="inlineStr">
        <is>
          <t>Т</t>
        </is>
      </c>
      <c r="E5" s="7" t="inlineStr">
        <is>
          <t>Ұлы даланың батыс қиырындағы өңірлердің археологиялық картасын жасақтау 1989 жылы басталған еді.</t>
        </is>
      </c>
      <c r="F5" s="7" t="inlineStr">
        <is>
          <t>https://egemen.kz/news/araltobedegi-muzey-ekspozitsiya</t>
        </is>
      </c>
      <c r="G5" s="8" t="n">
        <v>46279</v>
      </c>
      <c r="H5" s="9">
        <f>IF(C5="","",IF(N(C5)&lt;5,"Ұ",IF(D5="Ж","Ж",IF(D5="А","А","Т"))))</f>
        <v/>
      </c>
    </row>
    <row r="6">
      <c r="A6" s="4" t="n">
        <v>5</v>
      </c>
      <c r="B6" s="5" t="inlineStr">
        <is>
          <t>сарбаз</t>
        </is>
      </c>
      <c r="C6" s="6" t="n"/>
      <c r="D6" s="6" t="n"/>
      <c r="E6" s="7" t="n"/>
      <c r="F6" s="7" t="n"/>
      <c r="G6" s="6" t="n"/>
      <c r="H6" s="9">
        <f>IF(C6="","",IF(N(C6)&lt;5,"Ұ",IF(D6="Ж","Ж",IF(D6="А","А","Т"))))</f>
        <v/>
      </c>
    </row>
    <row r="7">
      <c r="A7" s="4" t="n">
        <v>6</v>
      </c>
      <c r="B7" s="5" t="inlineStr">
        <is>
          <t>жасақ</t>
        </is>
      </c>
      <c r="C7" s="6" t="n"/>
      <c r="D7" s="6" t="n"/>
      <c r="E7" s="7" t="n"/>
      <c r="F7" s="7" t="n"/>
      <c r="G7" s="6" t="n"/>
      <c r="H7" s="9">
        <f>IF(C7="","",IF(N(C7)&lt;5,"Ұ",IF(D7="Ж","Ж",IF(D7="А","А","Т"))))</f>
        <v/>
      </c>
    </row>
    <row r="8">
      <c r="A8" s="4" t="n">
        <v>7</v>
      </c>
      <c r="B8" s="5" t="inlineStr">
        <is>
          <t>болыс</t>
        </is>
      </c>
      <c r="C8" s="6" t="n"/>
      <c r="D8" s="6" t="n"/>
      <c r="E8" s="7" t="n"/>
      <c r="F8" s="7" t="n"/>
      <c r="G8" s="6" t="n"/>
      <c r="H8" s="9">
        <f>IF(C8="","",IF(N(C8)&lt;5,"Ұ",IF(D8="Ж","Ж",IF(D8="А","А","Т"))))</f>
        <v/>
      </c>
    </row>
    <row r="9">
      <c r="A9" s="4" t="n">
        <v>8</v>
      </c>
      <c r="B9" s="5" t="inlineStr">
        <is>
          <t>ауылнай</t>
        </is>
      </c>
      <c r="C9" s="6" t="n"/>
      <c r="D9" s="6" t="n"/>
      <c r="E9" s="7" t="n"/>
      <c r="F9" s="7" t="n"/>
      <c r="G9" s="6" t="n"/>
      <c r="H9" s="9">
        <f>IF(C9="","",IF(N(C9)&lt;5,"Ұ",IF(D9="Ж","Ж",IF(D9="А","А","Т"))))</f>
        <v/>
      </c>
    </row>
    <row r="10">
      <c r="A10" s="4" t="n">
        <v>9</v>
      </c>
      <c r="B10" s="5" t="inlineStr">
        <is>
          <t>уәзір</t>
        </is>
      </c>
      <c r="C10" s="6" t="n"/>
      <c r="D10" s="6" t="n"/>
      <c r="E10" s="7" t="n"/>
      <c r="F10" s="7" t="n"/>
      <c r="G10" s="6" t="n"/>
      <c r="H10" s="9">
        <f>IF(C10="","",IF(N(C10)&lt;5,"Ұ",IF(D10="Ж","Ж",IF(D10="А","А","Т"))))</f>
        <v/>
      </c>
    </row>
    <row r="11">
      <c r="A11" s="4" t="n">
        <v>10</v>
      </c>
      <c r="B11" s="5" t="inlineStr">
        <is>
          <t>әкім</t>
        </is>
      </c>
      <c r="C11" s="6" t="n"/>
      <c r="D11" s="6" t="n"/>
      <c r="E11" s="7" t="n"/>
      <c r="F11" s="7" t="n"/>
      <c r="G11" s="6" t="n"/>
      <c r="H11" s="9">
        <f>IF(C11="","",IF(N(C11)&lt;5,"Ұ",IF(D11="Ж","Ж",IF(D11="А","А","Т"))))</f>
        <v/>
      </c>
    </row>
    <row r="12">
      <c r="A12" s="4" t="n">
        <v>11</v>
      </c>
      <c r="B12" s="5" t="inlineStr">
        <is>
          <t>құрылтай</t>
        </is>
      </c>
      <c r="C12" s="6" t="n"/>
      <c r="D12" s="6" t="n"/>
      <c r="E12" s="7" t="n"/>
      <c r="F12" s="7" t="n"/>
      <c r="G12" s="6" t="n"/>
      <c r="H12" s="9">
        <f>IF(C12="","",IF(N(C12)&lt;5,"Ұ",IF(D12="Ж","Ж",IF(D12="А","А","Т"))))</f>
        <v/>
      </c>
    </row>
    <row r="13">
      <c r="A13" s="4" t="n">
        <v>12</v>
      </c>
      <c r="B13" s="5" t="inlineStr">
        <is>
          <t>елші</t>
        </is>
      </c>
      <c r="C13" s="6" t="n"/>
      <c r="D13" s="6" t="n"/>
      <c r="E13" s="7" t="n"/>
      <c r="F13" s="7" t="n"/>
      <c r="G13" s="6" t="n"/>
      <c r="H13" s="9">
        <f>IF(C13="","",IF(N(C13)&lt;5,"Ұ",IF(D13="Ж","Ж",IF(D13="А","А","Т"))))</f>
        <v/>
      </c>
    </row>
    <row r="14">
      <c r="A14" s="4" t="n">
        <v>13</v>
      </c>
      <c r="B14" s="5" t="inlineStr">
        <is>
          <t>жарлық</t>
        </is>
      </c>
      <c r="C14" s="6" t="n"/>
      <c r="D14" s="6" t="n"/>
      <c r="E14" s="7" t="n"/>
      <c r="F14" s="7" t="n"/>
      <c r="G14" s="6" t="n"/>
      <c r="H14" s="9">
        <f>IF(C14="","",IF(N(C14)&lt;5,"Ұ",IF(D14="Ж","Ж",IF(D14="А","А","Т"))))</f>
        <v/>
      </c>
    </row>
    <row r="15">
      <c r="A15" s="4" t="n">
        <v>14</v>
      </c>
      <c r="B15" s="5" t="inlineStr">
        <is>
          <t>мәжіліс</t>
        </is>
      </c>
      <c r="C15" s="6" t="n"/>
      <c r="D15" s="6" t="n"/>
      <c r="E15" s="7" t="n"/>
      <c r="F15" s="7" t="n"/>
      <c r="G15" s="6" t="n"/>
      <c r="H15" s="9">
        <f>IF(C15="","",IF(N(C15)&lt;5,"Ұ",IF(D15="Ж","Ж",IF(D15="А","А","Т"))))</f>
        <v/>
      </c>
    </row>
    <row r="16">
      <c r="A16" s="4" t="n">
        <v>15</v>
      </c>
      <c r="B16" s="5" t="inlineStr">
        <is>
          <t>кеден</t>
        </is>
      </c>
      <c r="C16" s="6" t="n"/>
      <c r="D16" s="6" t="n"/>
      <c r="E16" s="7" t="n"/>
      <c r="F16" s="7" t="n"/>
      <c r="G16" s="6" t="n"/>
      <c r="H16" s="9">
        <f>IF(C16="","",IF(N(C16)&lt;5,"Ұ",IF(D16="Ж","Ж",IF(D16="А","А","Т"))))</f>
        <v/>
      </c>
    </row>
    <row r="17">
      <c r="A17" s="4" t="n">
        <v>16</v>
      </c>
      <c r="B17" s="5" t="inlineStr">
        <is>
          <t>ұлық</t>
        </is>
      </c>
      <c r="C17" s="6" t="n"/>
      <c r="D17" s="6" t="n"/>
      <c r="E17" s="7" t="n"/>
      <c r="F17" s="7" t="n"/>
      <c r="G17" s="6" t="n"/>
      <c r="H17" s="9">
        <f>IF(C17="","",IF(N(C17)&lt;5,"Ұ",IF(D17="Ж","Ж",IF(D17="А","А","Т"))))</f>
        <v/>
      </c>
    </row>
    <row r="18">
      <c r="A18" s="4" t="n">
        <v>17</v>
      </c>
      <c r="B18" s="5" t="inlineStr">
        <is>
          <t>пәрмен</t>
        </is>
      </c>
      <c r="C18" s="6" t="n"/>
      <c r="D18" s="6" t="n"/>
      <c r="E18" s="7" t="n"/>
      <c r="F18" s="7" t="n"/>
      <c r="G18" s="6" t="n"/>
      <c r="H18" s="9">
        <f>IF(C18="","",IF(N(C18)&lt;5,"Ұ",IF(D18="Ж","Ж",IF(D18="А","А","Т"))))</f>
        <v/>
      </c>
    </row>
    <row r="19">
      <c r="A19" s="4" t="n">
        <v>18</v>
      </c>
      <c r="B19" s="5" t="inlineStr">
        <is>
          <t>жәдігер</t>
        </is>
      </c>
      <c r="C19" s="6" t="n"/>
      <c r="D19" s="6" t="n"/>
      <c r="E19" s="7" t="n"/>
      <c r="F19" s="7" t="n"/>
      <c r="G19" s="6" t="n"/>
      <c r="H19" s="9">
        <f>IF(C19="","",IF(N(C19)&lt;5,"Ұ",IF(D19="Ж","Ж",IF(D19="А","А","Т"))))</f>
        <v/>
      </c>
    </row>
    <row r="20">
      <c r="A20" s="4" t="n">
        <v>19</v>
      </c>
      <c r="B20" s="5" t="inlineStr">
        <is>
          <t>теңге</t>
        </is>
      </c>
      <c r="C20" s="6" t="n"/>
      <c r="D20" s="6" t="n"/>
      <c r="E20" s="7" t="n"/>
      <c r="F20" s="7" t="n"/>
      <c r="G20" s="6" t="n"/>
      <c r="H20" s="9">
        <f>IF(C20="","",IF(N(C20)&lt;5,"Ұ",IF(D20="Ж","Ж",IF(D20="А","А","Т"))))</f>
        <v/>
      </c>
    </row>
    <row r="21">
      <c r="A21" s="4" t="n">
        <v>20</v>
      </c>
      <c r="B21" s="5" t="inlineStr">
        <is>
          <t>тиын</t>
        </is>
      </c>
      <c r="C21" s="6" t="n"/>
      <c r="D21" s="6" t="n"/>
      <c r="E21" s="7" t="n"/>
      <c r="F21" s="7" t="n"/>
      <c r="G21" s="6" t="n"/>
      <c r="H21" s="9">
        <f>IF(C21="","",IF(N(C21)&lt;5,"Ұ",IF(D21="Ж","Ж",IF(D21="А","А","Т"))))</f>
        <v/>
      </c>
    </row>
    <row r="22">
      <c r="A22" s="4" t="n">
        <v>21</v>
      </c>
      <c r="B22" s="5" t="inlineStr">
        <is>
          <t>пұт</t>
        </is>
      </c>
      <c r="C22" s="6" t="n"/>
      <c r="D22" s="6" t="n"/>
      <c r="E22" s="7" t="n"/>
      <c r="F22" s="7" t="n"/>
      <c r="G22" s="6" t="n"/>
      <c r="H22" s="9">
        <f>IF(C22="","",IF(N(C22)&lt;5,"Ұ",IF(D22="Ж","Ж",IF(D22="А","А","Т"))))</f>
        <v/>
      </c>
    </row>
    <row r="23">
      <c r="A23" s="4" t="n">
        <v>22</v>
      </c>
      <c r="B23" s="5" t="inlineStr">
        <is>
          <t>батпан</t>
        </is>
      </c>
      <c r="C23" s="6" t="n"/>
      <c r="D23" s="6" t="n"/>
      <c r="E23" s="7" t="n"/>
      <c r="F23" s="7" t="n"/>
      <c r="G23" s="6" t="n"/>
      <c r="H23" s="9">
        <f>IF(C23="","",IF(N(C23)&lt;5,"Ұ",IF(D23="Ж","Ж",IF(D23="А","А","Т"))))</f>
        <v/>
      </c>
    </row>
    <row r="24">
      <c r="A24" s="4" t="n">
        <v>23</v>
      </c>
      <c r="B24" s="5" t="inlineStr">
        <is>
          <t>құлаш</t>
        </is>
      </c>
      <c r="C24" s="6" t="n"/>
      <c r="D24" s="6" t="n"/>
      <c r="E24" s="7" t="n"/>
      <c r="F24" s="7" t="n"/>
      <c r="G24" s="6" t="n"/>
      <c r="H24" s="9">
        <f>IF(C24="","",IF(N(C24)&lt;5,"Ұ",IF(D24="Ж","Ж",IF(D24="А","А","Т"))))</f>
        <v/>
      </c>
    </row>
    <row r="25">
      <c r="A25" s="4" t="n">
        <v>24</v>
      </c>
      <c r="B25" s="5" t="inlineStr">
        <is>
          <t>шақырым</t>
        </is>
      </c>
      <c r="C25" s="6" t="n"/>
      <c r="D25" s="6" t="n"/>
      <c r="E25" s="7" t="n"/>
      <c r="F25" s="7" t="n"/>
      <c r="G25" s="6" t="n"/>
      <c r="H25" s="9">
        <f>IF(C25="","",IF(N(C25)&lt;5,"Ұ",IF(D25="Ж","Ж",IF(D25="А","А","Т"))))</f>
        <v/>
      </c>
    </row>
    <row r="26">
      <c r="A26" s="4" t="n">
        <v>25</v>
      </c>
      <c r="B26" s="5" t="inlineStr">
        <is>
          <t>сәукеле</t>
        </is>
      </c>
      <c r="C26" s="6" t="n"/>
      <c r="D26" s="6" t="n"/>
      <c r="E26" s="7" t="n"/>
      <c r="F26" s="7" t="n"/>
      <c r="G26" s="6" t="n"/>
      <c r="H26" s="9">
        <f>IF(C26="","",IF(N(C26)&lt;5,"Ұ",IF(D26="Ж","Ж",IF(D26="А","А","Т"))))</f>
        <v/>
      </c>
    </row>
    <row r="27">
      <c r="A27" s="4" t="n">
        <v>26</v>
      </c>
      <c r="B27" s="5" t="inlineStr">
        <is>
          <t>кимешек</t>
        </is>
      </c>
      <c r="C27" s="6" t="n"/>
      <c r="D27" s="6" t="n"/>
      <c r="E27" s="7" t="n"/>
      <c r="F27" s="7" t="n"/>
      <c r="G27" s="6" t="n"/>
      <c r="H27" s="9">
        <f>IF(C27="","",IF(N(C27)&lt;5,"Ұ",IF(D27="Ж","Ж",IF(D27="А","А","Т"))))</f>
        <v/>
      </c>
    </row>
    <row r="28">
      <c r="A28" s="4" t="n">
        <v>27</v>
      </c>
      <c r="B28" s="5" t="inlineStr">
        <is>
          <t>шекпен</t>
        </is>
      </c>
      <c r="C28" s="6" t="n"/>
      <c r="D28" s="6" t="n"/>
      <c r="E28" s="7" t="n"/>
      <c r="F28" s="7" t="n"/>
      <c r="G28" s="6" t="n"/>
      <c r="H28" s="9">
        <f>IF(C28="","",IF(N(C28)&lt;5,"Ұ",IF(D28="Ж","Ж",IF(D28="А","А","Т"))))</f>
        <v/>
      </c>
    </row>
    <row r="29">
      <c r="A29" s="4" t="n">
        <v>28</v>
      </c>
      <c r="B29" s="5" t="inlineStr">
        <is>
          <t>кебенек</t>
        </is>
      </c>
      <c r="C29" s="6" t="n"/>
      <c r="D29" s="6" t="n"/>
      <c r="E29" s="7" t="n"/>
      <c r="F29" s="7" t="n"/>
      <c r="G29" s="6" t="n"/>
      <c r="H29" s="9">
        <f>IF(C29="","",IF(N(C29)&lt;5,"Ұ",IF(D29="Ж","Ж",IF(D29="А","А","Т"))))</f>
        <v/>
      </c>
    </row>
    <row r="30">
      <c r="A30" s="4" t="n">
        <v>29</v>
      </c>
      <c r="B30" s="5" t="inlineStr">
        <is>
          <t>кебеже</t>
        </is>
      </c>
      <c r="C30" s="6" t="n"/>
      <c r="D30" s="6" t="n"/>
      <c r="E30" s="7" t="n"/>
      <c r="F30" s="7" t="n"/>
      <c r="G30" s="6" t="n"/>
      <c r="H30" s="9">
        <f>IF(C30="","",IF(N(C30)&lt;5,"Ұ",IF(D30="Ж","Ж",IF(D30="А","А","Т"))))</f>
        <v/>
      </c>
    </row>
    <row r="31">
      <c r="A31" s="4" t="n">
        <v>30</v>
      </c>
      <c r="B31" s="5" t="inlineStr">
        <is>
          <t>саба</t>
        </is>
      </c>
      <c r="C31" s="6" t="n"/>
      <c r="D31" s="6" t="n"/>
      <c r="E31" s="7" t="n"/>
      <c r="F31" s="7" t="n"/>
      <c r="G31" s="6" t="n"/>
      <c r="H31" s="9">
        <f>IF(C31="","",IF(N(C31)&lt;5,"Ұ",IF(D31="Ж","Ж",IF(D31="А","А","Т"))))</f>
        <v/>
      </c>
    </row>
    <row r="32">
      <c r="A32" s="4" t="n">
        <v>31</v>
      </c>
      <c r="B32" s="5" t="inlineStr">
        <is>
          <t>ләшкер</t>
        </is>
      </c>
      <c r="C32" s="6" t="n"/>
      <c r="D32" s="6" t="n"/>
      <c r="E32" s="7" t="n"/>
      <c r="F32" s="7" t="n"/>
      <c r="G32" s="6" t="n"/>
      <c r="H32" s="9">
        <f>IF(C32="","",IF(N(C32)&lt;5,"Ұ",IF(D32="Ж","Ж",IF(D32="А","А","Т"))))</f>
        <v/>
      </c>
    </row>
    <row r="33">
      <c r="A33" s="4" t="n">
        <v>32</v>
      </c>
      <c r="B33" s="5" t="inlineStr">
        <is>
          <t>тамұқ</t>
        </is>
      </c>
      <c r="C33" s="6" t="n"/>
      <c r="D33" s="6" t="n"/>
      <c r="E33" s="7" t="n"/>
      <c r="F33" s="7" t="n"/>
      <c r="G33" s="6" t="n"/>
      <c r="H33" s="9">
        <f>IF(C33="","",IF(N(C33)&lt;5,"Ұ",IF(D33="Ж","Ж",IF(D33="А","А","Т"))))</f>
        <v/>
      </c>
    </row>
    <row r="34">
      <c r="A34" s="4" t="n">
        <v>33</v>
      </c>
      <c r="B34" s="5" t="inlineStr">
        <is>
          <t>мейман</t>
        </is>
      </c>
      <c r="C34" s="6" t="n"/>
      <c r="D34" s="6" t="n"/>
      <c r="E34" s="7" t="n"/>
      <c r="F34" s="7" t="n"/>
      <c r="G34" s="6" t="n"/>
      <c r="H34" s="9">
        <f>IF(C34="","",IF(N(C34)&lt;5,"Ұ",IF(D34="Ж","Ж",IF(D34="А","А","Т"))))</f>
        <v/>
      </c>
    </row>
    <row r="35">
      <c r="A35" s="4" t="n">
        <v>34</v>
      </c>
      <c r="B35" s="5" t="inlineStr">
        <is>
          <t>ділмар</t>
        </is>
      </c>
      <c r="C35" s="6" t="n"/>
      <c r="D35" s="6" t="n"/>
      <c r="E35" s="7" t="n"/>
      <c r="F35" s="7" t="n"/>
      <c r="G35" s="6" t="n"/>
      <c r="H35" s="9">
        <f>IF(C35="","",IF(N(C35)&lt;5,"Ұ",IF(D35="Ж","Ж",IF(D35="А","А","Т"))))</f>
        <v/>
      </c>
    </row>
    <row r="36">
      <c r="A36" s="4" t="n">
        <v>35</v>
      </c>
      <c r="B36" s="5" t="inlineStr">
        <is>
          <t>нөкер</t>
        </is>
      </c>
      <c r="C36" s="6" t="n"/>
      <c r="D36" s="6" t="n"/>
      <c r="E36" s="7" t="n"/>
      <c r="F36" s="7" t="n"/>
      <c r="G36" s="6" t="n"/>
      <c r="H36" s="9">
        <f>IF(C36="","",IF(N(C36)&lt;5,"Ұ",IF(D36="Ж","Ж",IF(D36="А","А","Т"))))</f>
        <v/>
      </c>
    </row>
    <row r="37">
      <c r="A37" s="4" t="n">
        <v>36</v>
      </c>
      <c r="B37" s="5" t="inlineStr">
        <is>
          <t>тұлпар</t>
        </is>
      </c>
      <c r="C37" s="6" t="n"/>
      <c r="D37" s="6" t="n"/>
      <c r="E37" s="7" t="n"/>
      <c r="F37" s="7" t="n"/>
      <c r="G37" s="6" t="n"/>
      <c r="H37" s="9">
        <f>IF(C37="","",IF(N(C37)&lt;5,"Ұ",IF(D37="Ж","Ж",IF(D37="А","А","Т"))))</f>
        <v/>
      </c>
    </row>
  </sheetData>
  <dataValidations count="1">
    <dataValidation sqref="D2 D3 D4 D5 D6 D7 D8 D9 D10 D11 D12 D13 D14 D15 D16 D17 D18 D19 D20 D21 D22 D23 D24 D25 D26 D27 D28 D29 D30 D31 D32 D33 D34 D35 D36 D37" showDropDown="0" showInputMessage="0" showErrorMessage="1" allowBlank="1" errorTitle="Қате мән" error="Тек мына мәндердің бірін жазыңыз: Ж, А, Т, Б" type="list">
      <formula1>"Ж,А,Т,Б"</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ht="60" customHeight="1">
      <c r="A1" s="3" t="inlineStr">
        <is>
          <t>Код</t>
        </is>
      </c>
      <c r="B1" s="3" t="inlineStr">
        <is>
          <t>Буын</t>
        </is>
      </c>
      <c r="C1" s="3" t="inlineStr">
        <is>
          <t>сауыт: білу (0/1/2)</t>
        </is>
      </c>
      <c r="D1" s="3" t="inlineStr">
        <is>
          <t>сауыт: естиді (1/0)</t>
        </is>
      </c>
      <c r="E1" s="3" t="inlineStr">
        <is>
          <t>сарбаз: білу (0/1/2)</t>
        </is>
      </c>
      <c r="F1" s="3" t="inlineStr">
        <is>
          <t>сарбаз: естиді (1/0)</t>
        </is>
      </c>
      <c r="G1" s="3" t="inlineStr">
        <is>
          <t>болыс: білу (0/1/2)</t>
        </is>
      </c>
      <c r="H1" s="3" t="inlineStr">
        <is>
          <t>болыс: естиді (1/0)</t>
        </is>
      </c>
      <c r="I1" s="3" t="inlineStr">
        <is>
          <t>әкім: білу (0/1/2)</t>
        </is>
      </c>
      <c r="J1" s="3" t="inlineStr">
        <is>
          <t>әкім: естиді (1/0)</t>
        </is>
      </c>
      <c r="K1" s="3" t="inlineStr">
        <is>
          <t>жарлық: білу (0/1/2)</t>
        </is>
      </c>
      <c r="L1" s="3" t="inlineStr">
        <is>
          <t>жарлық: естиді (1/0)</t>
        </is>
      </c>
      <c r="M1" s="3" t="inlineStr">
        <is>
          <t>пәрмен: білу (0/1/2)</t>
        </is>
      </c>
      <c r="N1" s="3" t="inlineStr">
        <is>
          <t>пәрмен: естиді (1/0)</t>
        </is>
      </c>
      <c r="O1" s="3" t="inlineStr">
        <is>
          <t>батпан: білу (0/1/2)</t>
        </is>
      </c>
      <c r="P1" s="3" t="inlineStr">
        <is>
          <t>батпан: естиді (1/0)</t>
        </is>
      </c>
      <c r="Q1" s="3" t="inlineStr">
        <is>
          <t>тиын: білу (0/1/2)</t>
        </is>
      </c>
      <c r="R1" s="3" t="inlineStr">
        <is>
          <t>тиын: естиді (1/0)</t>
        </is>
      </c>
      <c r="S1" s="3" t="inlineStr">
        <is>
          <t>кебенек: білу (0/1/2)</t>
        </is>
      </c>
      <c r="T1" s="3" t="inlineStr">
        <is>
          <t>кебенек: естиді (1/0)</t>
        </is>
      </c>
      <c r="U1" s="3" t="inlineStr">
        <is>
          <t>сәукеле: білу (0/1/2)</t>
        </is>
      </c>
      <c r="V1" s="3" t="inlineStr">
        <is>
          <t>сәукеле: естиді (1/0)</t>
        </is>
      </c>
      <c r="W1" s="3" t="inlineStr">
        <is>
          <t>тамұқ: білу (0/1/2)</t>
        </is>
      </c>
      <c r="X1" s="3" t="inlineStr">
        <is>
          <t>тамұқ: естиді (1/0)</t>
        </is>
      </c>
      <c r="Y1" s="3" t="inlineStr">
        <is>
          <t>тұлпар: білу (0/1/2)</t>
        </is>
      </c>
      <c r="Z1" s="3" t="inlineStr">
        <is>
          <t>тұлпар: естиді (1/0)</t>
        </is>
      </c>
    </row>
    <row r="2">
      <c r="A2" s="4" t="inlineStr">
        <is>
          <t>О01</t>
        </is>
      </c>
      <c r="B2" s="5" t="inlineStr">
        <is>
          <t>Оқушылар (11–14 жас)</t>
        </is>
      </c>
      <c r="C2" s="6" t="n">
        <v>2</v>
      </c>
      <c r="D2" s="6" t="n">
        <v>1</v>
      </c>
      <c r="E2" s="6" t="n">
        <v>2</v>
      </c>
      <c r="F2" s="6" t="n">
        <v>1</v>
      </c>
      <c r="G2" s="6" t="n">
        <v>0</v>
      </c>
      <c r="H2" s="6" t="n">
        <v>1</v>
      </c>
      <c r="I2" s="6" t="n">
        <v>1</v>
      </c>
      <c r="J2" s="6" t="n"/>
      <c r="K2" s="6" t="n">
        <v>1</v>
      </c>
      <c r="L2" s="6" t="n"/>
      <c r="M2" s="6" t="n">
        <v>0</v>
      </c>
      <c r="N2" s="6" t="n"/>
      <c r="O2" s="6" t="n">
        <v>0</v>
      </c>
      <c r="P2" s="6" t="n"/>
      <c r="Q2" s="6" t="n">
        <v>2</v>
      </c>
      <c r="R2" s="6" t="n"/>
      <c r="S2" s="6" t="n">
        <v>0</v>
      </c>
      <c r="T2" s="6" t="n"/>
      <c r="U2" s="6" t="n">
        <v>2</v>
      </c>
      <c r="V2" s="6" t="n"/>
      <c r="W2" s="6" t="n">
        <v>0</v>
      </c>
      <c r="X2" s="6" t="n"/>
      <c r="Y2" s="6" t="n">
        <v>2</v>
      </c>
      <c r="Z2" s="6" t="n"/>
    </row>
    <row r="3">
      <c r="A3" s="4" t="inlineStr">
        <is>
          <t>О02</t>
        </is>
      </c>
      <c r="B3" s="5" t="inlineStr">
        <is>
          <t>Оқушылар (11–14 жас)</t>
        </is>
      </c>
      <c r="C3" s="6" t="n">
        <v>1</v>
      </c>
      <c r="D3" s="6" t="n">
        <v>1</v>
      </c>
      <c r="E3" s="6" t="n">
        <v>2</v>
      </c>
      <c r="F3" s="6" t="n">
        <v>1</v>
      </c>
      <c r="G3" s="6" t="n">
        <v>0</v>
      </c>
      <c r="H3" s="6" t="n">
        <v>1</v>
      </c>
      <c r="I3" s="6" t="n">
        <v>2</v>
      </c>
      <c r="J3" s="6" t="n"/>
      <c r="K3" s="6" t="n">
        <v>2</v>
      </c>
      <c r="L3" s="6" t="n"/>
      <c r="M3" s="6" t="n">
        <v>1</v>
      </c>
      <c r="N3" s="6" t="n"/>
      <c r="O3" s="6" t="n">
        <v>0</v>
      </c>
      <c r="P3" s="6" t="n"/>
      <c r="Q3" s="6" t="n">
        <v>2</v>
      </c>
      <c r="R3" s="6" t="n"/>
      <c r="S3" s="6" t="n">
        <v>0</v>
      </c>
      <c r="T3" s="6" t="n"/>
      <c r="U3" s="6" t="n">
        <v>1</v>
      </c>
      <c r="V3" s="6" t="n"/>
      <c r="W3" s="6" t="n">
        <v>0</v>
      </c>
      <c r="X3" s="6" t="n"/>
      <c r="Y3" s="6" t="n">
        <v>2</v>
      </c>
      <c r="Z3" s="6" t="n"/>
    </row>
    <row r="4">
      <c r="A4" s="4" t="inlineStr">
        <is>
          <t>О03</t>
        </is>
      </c>
      <c r="B4" s="5" t="inlineStr">
        <is>
          <t>Оқушылар (11–14 жас)</t>
        </is>
      </c>
      <c r="C4" s="6" t="n">
        <v>0</v>
      </c>
      <c r="D4" s="6" t="n">
        <v>1</v>
      </c>
      <c r="E4" s="6" t="n">
        <v>2</v>
      </c>
      <c r="F4" s="6" t="n"/>
      <c r="G4" s="6" t="n">
        <v>0</v>
      </c>
      <c r="H4" s="6" t="n"/>
      <c r="I4" s="6" t="n">
        <v>2</v>
      </c>
      <c r="J4" s="6" t="n"/>
      <c r="K4" s="6" t="n">
        <v>1</v>
      </c>
      <c r="L4" s="6" t="n"/>
      <c r="M4" s="6" t="n">
        <v>2</v>
      </c>
      <c r="N4" s="6" t="n"/>
      <c r="O4" s="6" t="n">
        <v>1</v>
      </c>
      <c r="P4" s="6" t="n"/>
      <c r="Q4" s="6" t="n">
        <v>2</v>
      </c>
      <c r="R4" s="6" t="n"/>
      <c r="S4" s="6" t="n">
        <v>0</v>
      </c>
      <c r="T4" s="6" t="n"/>
      <c r="U4" s="6" t="n">
        <v>2</v>
      </c>
      <c r="V4" s="6" t="n"/>
      <c r="W4" s="6" t="n">
        <v>0</v>
      </c>
      <c r="X4" s="6" t="n"/>
      <c r="Y4" s="6" t="n">
        <v>2</v>
      </c>
      <c r="Z4" s="6" t="n"/>
    </row>
    <row r="5">
      <c r="A5" s="4" t="inlineStr">
        <is>
          <t>О04</t>
        </is>
      </c>
      <c r="B5" s="5" t="inlineStr">
        <is>
          <t>Оқушылар (11–14 жас)</t>
        </is>
      </c>
      <c r="C5" s="6" t="n"/>
      <c r="D5" s="6" t="n"/>
      <c r="E5" s="6" t="n"/>
      <c r="F5" s="6" t="n"/>
      <c r="G5" s="6" t="n">
        <v>1</v>
      </c>
      <c r="H5" s="6" t="n"/>
      <c r="I5" s="6" t="n"/>
      <c r="J5" s="6" t="n"/>
      <c r="K5" s="6" t="n">
        <v>0</v>
      </c>
      <c r="L5" s="6" t="n"/>
      <c r="M5" s="6" t="n"/>
      <c r="N5" s="6" t="n"/>
      <c r="O5" s="6" t="n">
        <v>1</v>
      </c>
      <c r="P5" s="6" t="n"/>
      <c r="Q5" s="6" t="n"/>
      <c r="R5" s="6" t="n"/>
      <c r="S5" s="6" t="n"/>
      <c r="T5" s="6" t="n"/>
      <c r="U5" s="6" t="n">
        <v>2</v>
      </c>
      <c r="V5" s="6" t="n"/>
      <c r="W5" s="6" t="n"/>
      <c r="X5" s="6" t="n"/>
      <c r="Y5" s="6" t="n"/>
      <c r="Z5" s="6" t="n"/>
    </row>
    <row r="6">
      <c r="A6" s="4" t="inlineStr">
        <is>
          <t>О05</t>
        </is>
      </c>
      <c r="B6" s="5" t="inlineStr">
        <is>
          <t>Оқушылар (11–14 жас)</t>
        </is>
      </c>
      <c r="C6" s="6" t="n"/>
      <c r="D6" s="6" t="n"/>
      <c r="E6" s="6" t="n"/>
      <c r="F6" s="6" t="n"/>
      <c r="G6" s="6" t="n">
        <v>0</v>
      </c>
      <c r="H6" s="6" t="n"/>
      <c r="I6" s="6" t="n"/>
      <c r="J6" s="6" t="n"/>
      <c r="K6" s="6" t="n"/>
      <c r="L6" s="6" t="n"/>
      <c r="M6" s="6" t="n"/>
      <c r="N6" s="6" t="n"/>
      <c r="O6" s="6" t="n"/>
      <c r="P6" s="6" t="n"/>
      <c r="Q6" s="6" t="n"/>
      <c r="R6" s="6" t="n"/>
      <c r="S6" s="6" t="n"/>
      <c r="T6" s="6" t="n"/>
      <c r="U6" s="6" t="n"/>
      <c r="V6" s="6" t="n"/>
      <c r="W6" s="6" t="n"/>
      <c r="X6" s="6" t="n"/>
      <c r="Y6" s="6" t="n"/>
      <c r="Z6" s="6" t="n"/>
    </row>
    <row r="7">
      <c r="A7" s="4" t="inlineStr">
        <is>
          <t>О06</t>
        </is>
      </c>
      <c r="B7" s="5" t="inlineStr">
        <is>
          <t>Оқушылар (11–14 жас)</t>
        </is>
      </c>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4" t="inlineStr">
        <is>
          <t>Ә01</t>
        </is>
      </c>
      <c r="B8" s="5" t="inlineStr">
        <is>
          <t>Ата-аналар (30–55 жас)</t>
        </is>
      </c>
      <c r="C8" s="6" t="n">
        <v>2</v>
      </c>
      <c r="D8" s="6" t="n">
        <v>1</v>
      </c>
      <c r="E8" s="6" t="n">
        <v>2</v>
      </c>
      <c r="F8" s="6" t="n">
        <v>1</v>
      </c>
      <c r="G8" s="6" t="n">
        <v>2</v>
      </c>
      <c r="H8" s="6" t="n">
        <v>0</v>
      </c>
      <c r="I8" s="6" t="n">
        <v>1</v>
      </c>
      <c r="J8" s="6" t="n">
        <v>1</v>
      </c>
      <c r="K8" s="6" t="n">
        <v>1</v>
      </c>
      <c r="L8" s="6" t="n">
        <v>1</v>
      </c>
      <c r="M8" s="6" t="n">
        <v>2</v>
      </c>
      <c r="N8" s="6" t="n">
        <v>1</v>
      </c>
      <c r="O8" s="6" t="n">
        <v>2</v>
      </c>
      <c r="P8" s="6" t="n">
        <v>1</v>
      </c>
      <c r="Q8" s="6" t="n">
        <v>2</v>
      </c>
      <c r="R8" s="6" t="n">
        <v>1</v>
      </c>
      <c r="S8" s="6" t="n">
        <v>2</v>
      </c>
      <c r="T8" s="6" t="n">
        <v>1</v>
      </c>
      <c r="U8" s="6" t="n">
        <v>2</v>
      </c>
      <c r="V8" s="6" t="n">
        <v>1</v>
      </c>
      <c r="W8" s="6" t="n">
        <v>1</v>
      </c>
      <c r="X8" s="6" t="n">
        <v>1</v>
      </c>
      <c r="Y8" s="6" t="n">
        <v>2</v>
      </c>
      <c r="Z8" s="6" t="n">
        <v>1</v>
      </c>
    </row>
    <row r="9">
      <c r="A9" s="4" t="inlineStr">
        <is>
          <t>Ә02</t>
        </is>
      </c>
      <c r="B9" s="5" t="inlineStr">
        <is>
          <t>Ата-аналар (30–55 жас)</t>
        </is>
      </c>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4" t="inlineStr">
        <is>
          <t>Ә03</t>
        </is>
      </c>
      <c r="B10" s="5" t="inlineStr">
        <is>
          <t>Ата-аналар (30–55 жас)</t>
        </is>
      </c>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4" t="inlineStr">
        <is>
          <t>Ә04</t>
        </is>
      </c>
      <c r="B11" s="5" t="inlineStr">
        <is>
          <t>Ата-аналар (30–55 жас)</t>
        </is>
      </c>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4" t="inlineStr">
        <is>
          <t>Ә05</t>
        </is>
      </c>
      <c r="B12" s="5" t="inlineStr">
        <is>
          <t>Ата-аналар (30–55 жас)</t>
        </is>
      </c>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4" t="inlineStr">
        <is>
          <t>Ә06</t>
        </is>
      </c>
      <c r="B13" s="5" t="inlineStr">
        <is>
          <t>Ата-аналар (30–55 жас)</t>
        </is>
      </c>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4" t="inlineStr">
        <is>
          <t>Ү01</t>
        </is>
      </c>
      <c r="B14" s="5" t="inlineStr">
        <is>
          <t>Ата-әжелер (60 жастан асқан)</t>
        </is>
      </c>
      <c r="C14" s="6" t="n">
        <v>2</v>
      </c>
      <c r="D14" s="6" t="n">
        <v>1</v>
      </c>
      <c r="E14" s="6" t="n">
        <v>2</v>
      </c>
      <c r="F14" s="6" t="n">
        <v>1</v>
      </c>
      <c r="G14" s="6" t="n">
        <v>1</v>
      </c>
      <c r="H14" s="6" t="n">
        <v>1</v>
      </c>
      <c r="I14" s="6" t="n">
        <v>1</v>
      </c>
      <c r="J14" s="10" t="n">
        <v>2</v>
      </c>
      <c r="K14" s="6" t="n">
        <v>2</v>
      </c>
      <c r="L14" s="10" t="n">
        <v>2</v>
      </c>
      <c r="M14" s="6" t="n">
        <v>1</v>
      </c>
      <c r="N14" s="6" t="n">
        <v>1</v>
      </c>
      <c r="O14" s="6" t="n">
        <v>1</v>
      </c>
      <c r="P14" s="10" t="n">
        <v>2</v>
      </c>
      <c r="Q14" s="6" t="n">
        <v>2</v>
      </c>
      <c r="R14" s="10" t="n">
        <v>2</v>
      </c>
      <c r="S14" s="6" t="n">
        <v>1</v>
      </c>
      <c r="T14" s="6" t="n">
        <v>1</v>
      </c>
      <c r="U14" s="6" t="n">
        <v>2</v>
      </c>
      <c r="V14" s="6" t="n">
        <v>1</v>
      </c>
      <c r="W14" s="6" t="n">
        <v>2</v>
      </c>
      <c r="X14" s="6" t="n">
        <v>1</v>
      </c>
      <c r="Y14" s="6" t="n">
        <v>2</v>
      </c>
      <c r="Z14" s="6" t="n">
        <v>1</v>
      </c>
    </row>
    <row r="15">
      <c r="A15" s="4" t="inlineStr">
        <is>
          <t>Ү02</t>
        </is>
      </c>
      <c r="B15" s="5" t="inlineStr">
        <is>
          <t>Ата-әжелер (60 жастан асқан)</t>
        </is>
      </c>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4" t="inlineStr">
        <is>
          <t>Ү03</t>
        </is>
      </c>
      <c r="B16" s="5" t="inlineStr">
        <is>
          <t>Ата-әжелер (60 жастан асқан)</t>
        </is>
      </c>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4" t="inlineStr">
        <is>
          <t>Ү04</t>
        </is>
      </c>
      <c r="B17" s="5" t="inlineStr">
        <is>
          <t>Ата-әжелер (60 жастан асқан)</t>
        </is>
      </c>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 t="inlineStr">
        <is>
          <t>Ү05</t>
        </is>
      </c>
      <c r="B18" s="5" t="inlineStr">
        <is>
          <t>Ата-әжелер (60 жастан асқан)</t>
        </is>
      </c>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4" t="inlineStr">
        <is>
          <t>Ү06</t>
        </is>
      </c>
      <c r="B19" s="5" t="inlineStr">
        <is>
          <t>Ата-әжелер (60 жастан асқан)</t>
        </is>
      </c>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sheetData>
  <dataValidations count="2">
    <dataValidation sqref="C2 C3 C4 C5 C6 C7 C8 C9 C10 C11 C12 C13 C14 C15 C16 C17 C18 C19 E2 E3 E4 E5 E6 E7 E8 E9 E10 E11 E12 E13 E14 E15 E16 E17 E18 E19 G2 G3 G4 G5 G6 G7 G8 G9 G10 G11 G12 G13 G14 G15 G16 G17 G18 G19 I2 I3 I4 I5 I6 I7 I8 I9 I10 I11 I12 I13 I14 I15 I16 I17 I18 I19 K2 K3 K4 K5 K6 K7 K8 K9 K10 K11 K12 K13 K14 K15 K16 K17 K18 K19 M2 M3 M4 M5 M6 M7 M8 M9 M10 M11 M12 M13 M14 M15 M16 M17 M18 M19 O2 O3 O4 O5 O6 O7 O8 O9 O10 O11 O12 O13 O14 O15 O16 O17 O18 O19 Q2 Q3 Q4 Q5 Q6 Q7 Q8 Q9 Q10 Q11 Q12 Q13 Q14 Q15 Q16 Q17 Q18 Q19 S2 S3 S4 S5 S6 S7 S8 S9 S10 S11 S12 S13 S14 S15 S16 S17 S18 S19 U2 U3 U4 U5 U6 U7 U8 U9 U10 U11 U12 U13 U14 U15 U16 U17 U18 U19 W2 W3 W4 W5 W6 W7 W8 W9 W10 W11 W12 W13 W14 W15 W16 W17 W18 W19 Y2 Y3 Y4 Y5 Y6 Y7 Y8 Y9 Y10 Y11 Y12 Y13 Y14 Y15 Y16 Y17 Y18 Y19" showDropDown="0" showInputMessage="0" showErrorMessage="1" allowBlank="1" errorTitle="Қате мән" error="Тек мына мәндердің бірін жазыңыз: 0, 1, 2" type="list">
      <formula1>"0,1,2"</formula1>
    </dataValidation>
    <dataValidation sqref="D2 D3 D4 D5 D6 D7 D8 D9 D10 D11 D12 D13 D14 D15 D16 D17 D18 D19 F2 F3 F4 F5 F6 F7 F8 F9 F10 F11 F12 F13 F14 F15 F16 F17 F18 F19 H2 H3 H4 H5 H6 H7 H8 H9 H10 H11 H12 H13 H14 H15 H16 H17 H18 H19 J2 J3 J4 J5 J6 J7 J8 J9 J10 J11 J12 J13 J14 J15 J16 J17 J18 J19 L2 L3 L4 L5 L6 L7 L8 L9 L10 L11 L12 L13 L14 L15 L16 L17 L18 L19 N2 N3 N4 N5 N6 N7 N8 N9 N10 N11 N12 N13 N14 N15 N16 N17 N18 N19 P2 P3 P4 P5 P6 P7 P8 P9 P10 P11 P12 P13 P14 P15 P16 P17 P18 P19 R2 R3 R4 R5 R6 R7 R8 R9 R10 R11 R12 R13 R14 R15 R16 R17 R18 R19 T2 T3 T4 T5 T6 T7 T8 T9 T10 T11 T12 T13 T14 T15 T16 T17 T18 T19 V2 V3 V4 V5 V6 V7 V8 V9 V10 V11 V12 V13 V14 V15 V16 V17 V18 V19 X2 X3 X4 X5 X6 X7 X8 X9 X10 X11 X12 X13 X14 X15 X16 X17 X18 X19 Z2 Z3 Z4 Z5 Z6 Z7 Z8 Z9 Z10 Z11 Z12 Z13 Z14 Z15 Z16 Z17 Z18 Z19" showDropDown="0" showInputMessage="0" showErrorMessage="1" allowBlank="1" errorTitle="Қате мән" error="Тек мына мәндердің бірін жазыңыз: 0, 1" type="list">
      <formula1>"0,1"</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F24"/>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1" t="inlineStr">
        <is>
          <t>Сөздердің мәртебесі тақырыптық топтар бойынша</t>
        </is>
      </c>
    </row>
    <row r="2" ht="45" customHeight="1">
      <c r="A2" s="3" t="inlineStr">
        <is>
          <t>Топ</t>
        </is>
      </c>
      <c r="B2" s="3" t="inlineStr">
        <is>
          <t>Қайта жанданған</t>
        </is>
      </c>
      <c r="C2" s="3" t="inlineStr">
        <is>
          <t>Атауда сақталған</t>
        </is>
      </c>
      <c r="D2" s="3" t="inlineStr">
        <is>
          <t>Тарихи мәтінде ғана</t>
        </is>
      </c>
      <c r="E2" s="3" t="inlineStr">
        <is>
          <t>Ұмыт болып барады</t>
        </is>
      </c>
      <c r="F2" s="3" t="inlineStr">
        <is>
          <t>Барлығы</t>
        </is>
      </c>
    </row>
    <row r="3">
      <c r="A3" s="5" t="inlineStr">
        <is>
          <t>Әскери іс және қару-жарақ</t>
        </is>
      </c>
      <c r="B3" s="4">
        <f>('БАҚ мониторингі'!H2="Ж")+('БАҚ мониторингі'!H3="Ж")+('БАҚ мониторингі'!H4="Ж")+('БАҚ мониторингі'!H5="Ж")+('БАҚ мониторингі'!H6="Ж")+('БАҚ мониторингі'!H7="Ж")</f>
        <v/>
      </c>
      <c r="C3" s="4">
        <f>('БАҚ мониторингі'!H2="А")+('БАҚ мониторингі'!H3="А")+('БАҚ мониторингі'!H4="А")+('БАҚ мониторингі'!H5="А")+('БАҚ мониторингі'!H6="А")+('БАҚ мониторингі'!H7="А")</f>
        <v/>
      </c>
      <c r="D3" s="4">
        <f>('БАҚ мониторингі'!H2="Т")+('БАҚ мониторингі'!H3="Т")+('БАҚ мониторингі'!H4="Т")+('БАҚ мониторингі'!H5="Т")+('БАҚ мониторингі'!H6="Т")+('БАҚ мониторингі'!H7="Т")</f>
        <v/>
      </c>
      <c r="E3" s="4">
        <f>('БАҚ мониторингі'!H2="Ұ")+('БАҚ мониторингі'!H3="Ұ")+('БАҚ мониторингі'!H4="Ұ")+('БАҚ мониторингі'!H5="Ұ")+('БАҚ мониторингі'!H6="Ұ")+('БАҚ мониторингі'!H7="Ұ")</f>
        <v/>
      </c>
      <c r="F3" s="4">
        <f>SUM(B3:E3)</f>
        <v/>
      </c>
    </row>
    <row r="4">
      <c r="A4" s="5" t="inlineStr">
        <is>
          <t>Билік және басқару</t>
        </is>
      </c>
      <c r="B4" s="4">
        <f>('БАҚ мониторингі'!H8="Ж")+('БАҚ мониторингі'!H9="Ж")+('БАҚ мониторингі'!H10="Ж")+('БАҚ мониторингі'!H11="Ж")+('БАҚ мониторингі'!H12="Ж")+('БАҚ мониторингі'!H13="Ж")</f>
        <v/>
      </c>
      <c r="C4" s="4">
        <f>('БАҚ мониторингі'!H8="А")+('БАҚ мониторингі'!H9="А")+('БАҚ мониторингі'!H10="А")+('БАҚ мониторингі'!H11="А")+('БАҚ мониторингі'!H12="А")+('БАҚ мониторингі'!H13="А")</f>
        <v/>
      </c>
      <c r="D4" s="4">
        <f>('БАҚ мониторингі'!H8="Т")+('БАҚ мониторингі'!H9="Т")+('БАҚ мониторингі'!H10="Т")+('БАҚ мониторингі'!H11="Т")+('БАҚ мониторингі'!H12="Т")+('БАҚ мониторингі'!H13="Т")</f>
        <v/>
      </c>
      <c r="E4" s="4">
        <f>('БАҚ мониторингі'!H8="Ұ")+('БАҚ мониторингі'!H9="Ұ")+('БАҚ мониторингі'!H10="Ұ")+('БАҚ мониторингі'!H11="Ұ")+('БАҚ мониторингі'!H12="Ұ")+('БАҚ мониторингі'!H13="Ұ")</f>
        <v/>
      </c>
      <c r="F4" s="4">
        <f>SUM(B4:E4)</f>
        <v/>
      </c>
    </row>
    <row r="5">
      <c r="A5" s="5" t="inlineStr">
        <is>
          <t>Қоғам, заң, құжат</t>
        </is>
      </c>
      <c r="B5" s="4">
        <f>('БАҚ мониторингі'!H14="Ж")+('БАҚ мониторингі'!H15="Ж")+('БАҚ мониторингі'!H16="Ж")+('БАҚ мониторингі'!H17="Ж")+('БАҚ мониторингі'!H18="Ж")+('БАҚ мониторингі'!H19="Ж")</f>
        <v/>
      </c>
      <c r="C5" s="4">
        <f>('БАҚ мониторингі'!H14="А")+('БАҚ мониторингі'!H15="А")+('БАҚ мониторингі'!H16="А")+('БАҚ мониторингі'!H17="А")+('БАҚ мониторингі'!H18="А")+('БАҚ мониторингі'!H19="А")</f>
        <v/>
      </c>
      <c r="D5" s="4">
        <f>('БАҚ мониторингі'!H14="Т")+('БАҚ мониторингі'!H15="Т")+('БАҚ мониторингі'!H16="Т")+('БАҚ мониторингі'!H17="Т")+('БАҚ мониторингі'!H18="Т")+('БАҚ мониторингі'!H19="Т")</f>
        <v/>
      </c>
      <c r="E5" s="4">
        <f>('БАҚ мониторингі'!H14="Ұ")+('БАҚ мониторингі'!H15="Ұ")+('БАҚ мониторингі'!H16="Ұ")+('БАҚ мониторингі'!H17="Ұ")+('БАҚ мониторингі'!H18="Ұ")+('БАҚ мониторингі'!H19="Ұ")</f>
        <v/>
      </c>
      <c r="F5" s="4">
        <f>SUM(B5:E5)</f>
        <v/>
      </c>
    </row>
    <row r="6">
      <c r="A6" s="5" t="inlineStr">
        <is>
          <t>Өлшем және ақша</t>
        </is>
      </c>
      <c r="B6" s="4">
        <f>('БАҚ мониторингі'!H20="Ж")+('БАҚ мониторингі'!H21="Ж")+('БАҚ мониторингі'!H22="Ж")+('БАҚ мониторингі'!H23="Ж")+('БАҚ мониторингі'!H24="Ж")+('БАҚ мониторингі'!H25="Ж")</f>
        <v/>
      </c>
      <c r="C6" s="4">
        <f>('БАҚ мониторингі'!H20="А")+('БАҚ мониторингі'!H21="А")+('БАҚ мониторингі'!H22="А")+('БАҚ мониторингі'!H23="А")+('БАҚ мониторингі'!H24="А")+('БАҚ мониторингі'!H25="А")</f>
        <v/>
      </c>
      <c r="D6" s="4">
        <f>('БАҚ мониторингі'!H20="Т")+('БАҚ мониторингі'!H21="Т")+('БАҚ мониторингі'!H22="Т")+('БАҚ мониторингі'!H23="Т")+('БАҚ мониторингі'!H24="Т")+('БАҚ мониторингі'!H25="Т")</f>
        <v/>
      </c>
      <c r="E6" s="4">
        <f>('БАҚ мониторингі'!H20="Ұ")+('БАҚ мониторингі'!H21="Ұ")+('БАҚ мониторингі'!H22="Ұ")+('БАҚ мониторингі'!H23="Ұ")+('БАҚ мониторингі'!H24="Ұ")+('БАҚ мониторингі'!H25="Ұ")</f>
        <v/>
      </c>
      <c r="F6" s="4">
        <f>SUM(B6:E6)</f>
        <v/>
      </c>
    </row>
    <row r="7">
      <c r="A7" s="5" t="inlineStr">
        <is>
          <t>Киім және тұрмыс</t>
        </is>
      </c>
      <c r="B7" s="4">
        <f>('БАҚ мониторингі'!H26="Ж")+('БАҚ мониторингі'!H27="Ж")+('БАҚ мониторингі'!H28="Ж")+('БАҚ мониторингі'!H29="Ж")+('БАҚ мониторингі'!H30="Ж")+('БАҚ мониторингі'!H31="Ж")</f>
        <v/>
      </c>
      <c r="C7" s="4">
        <f>('БАҚ мониторингі'!H26="А")+('БАҚ мониторингі'!H27="А")+('БАҚ мониторингі'!H28="А")+('БАҚ мониторингі'!H29="А")+('БАҚ мониторингі'!H30="А")+('БАҚ мониторингі'!H31="А")</f>
        <v/>
      </c>
      <c r="D7" s="4">
        <f>('БАҚ мониторингі'!H26="Т")+('БАҚ мониторингі'!H27="Т")+('БАҚ мониторингі'!H28="Т")+('БАҚ мониторингі'!H29="Т")+('БАҚ мониторингі'!H30="Т")+('БАҚ мониторингі'!H31="Т")</f>
        <v/>
      </c>
      <c r="E7" s="4">
        <f>('БАҚ мониторингі'!H26="Ұ")+('БАҚ мониторингі'!H27="Ұ")+('БАҚ мониторингі'!H28="Ұ")+('БАҚ мониторингі'!H29="Ұ")+('БАҚ мониторингі'!H30="Ұ")+('БАҚ мониторингі'!H31="Ұ")</f>
        <v/>
      </c>
      <c r="F7" s="4">
        <f>SUM(B7:E7)</f>
        <v/>
      </c>
    </row>
    <row r="8">
      <c r="A8" s="5" t="inlineStr">
        <is>
          <t>Баламасы бар көне сөздер</t>
        </is>
      </c>
      <c r="B8" s="4">
        <f>('БАҚ мониторингі'!H32="Ж")+('БАҚ мониторингі'!H33="Ж")+('БАҚ мониторингі'!H34="Ж")+('БАҚ мониторингі'!H35="Ж")+('БАҚ мониторингі'!H36="Ж")+('БАҚ мониторингі'!H37="Ж")</f>
        <v/>
      </c>
      <c r="C8" s="4">
        <f>('БАҚ мониторингі'!H32="А")+('БАҚ мониторингі'!H33="А")+('БАҚ мониторингі'!H34="А")+('БАҚ мониторингі'!H35="А")+('БАҚ мониторингі'!H36="А")+('БАҚ мониторингі'!H37="А")</f>
        <v/>
      </c>
      <c r="D8" s="4">
        <f>('БАҚ мониторингі'!H32="Т")+('БАҚ мониторингі'!H33="Т")+('БАҚ мониторингі'!H34="Т")+('БАҚ мониторингі'!H35="Т")+('БАҚ мониторингі'!H36="Т")+('БАҚ мониторингі'!H37="Т")</f>
        <v/>
      </c>
      <c r="E8" s="4">
        <f>('БАҚ мониторингі'!H32="Ұ")+('БАҚ мониторингі'!H33="Ұ")+('БАҚ мониторингі'!H34="Ұ")+('БАҚ мониторингі'!H35="Ұ")+('БАҚ мониторингі'!H36="Ұ")+('БАҚ мониторингі'!H37="Ұ")</f>
        <v/>
      </c>
      <c r="F8" s="4">
        <f>SUM(B8:E8)</f>
        <v/>
      </c>
    </row>
    <row r="9">
      <c r="A9" s="12" t="inlineStr">
        <is>
          <t>Барлығы</t>
        </is>
      </c>
      <c r="B9" s="4">
        <f>SUM(B3:B8)</f>
        <v/>
      </c>
      <c r="C9" s="4">
        <f>SUM(C3:C8)</f>
        <v/>
      </c>
      <c r="D9" s="4">
        <f>SUM(D3:D8)</f>
        <v/>
      </c>
      <c r="E9" s="4">
        <f>SUM(E3:E8)</f>
        <v/>
      </c>
      <c r="F9" s="4">
        <f>SUM(F3:F8)</f>
        <v/>
      </c>
    </row>
    <row r="11">
      <c r="A11" s="11" t="inlineStr">
        <is>
          <t>Үш буын тесті: мағынасын дұрыс түсіндіргендер үлесі, %</t>
        </is>
      </c>
    </row>
    <row r="12" ht="45" customHeight="1">
      <c r="A12" s="3" t="inlineStr">
        <is>
          <t>Сөз</t>
        </is>
      </c>
      <c r="B12" s="3" t="inlineStr">
        <is>
          <t>Оқушылар (11–14 жас)</t>
        </is>
      </c>
      <c r="C12" s="3" t="inlineStr">
        <is>
          <t>Ата-аналар (30–55 жас)</t>
        </is>
      </c>
      <c r="D12" s="3" t="inlineStr">
        <is>
          <t>Ата-әжелер (60 жастан асқан)</t>
        </is>
      </c>
    </row>
    <row r="13">
      <c r="A13" s="5" t="inlineStr">
        <is>
          <t>сауыт</t>
        </is>
      </c>
      <c r="B13" s="4">
        <f>IFERROR(ROUND(COUNTIFS(Тест!$A$2:$A$19,"О*",Тест!$C$2:$C$19,2)/COUNTIFS(Тест!$A$2:$A$19,"О*",Тест!$C$2:$C$19,"&lt;&gt;")*100,1),"")</f>
        <v/>
      </c>
      <c r="C13" s="4">
        <f>IFERROR(ROUND(COUNTIFS(Тест!$A$2:$A$19,"Ә*",Тест!$C$2:$C$19,2)/COUNTIFS(Тест!$A$2:$A$19,"Ә*",Тест!$C$2:$C$19,"&lt;&gt;")*100,1),"")</f>
        <v/>
      </c>
      <c r="D13" s="4">
        <f>IFERROR(ROUND(COUNTIFS(Тест!$A$2:$A$19,"Ү*",Тест!$C$2:$C$19,2)/COUNTIFS(Тест!$A$2:$A$19,"Ү*",Тест!$C$2:$C$19,"&lt;&gt;")*100,1),"")</f>
        <v/>
      </c>
    </row>
    <row r="14">
      <c r="A14" s="5" t="inlineStr">
        <is>
          <t>сарбаз</t>
        </is>
      </c>
      <c r="B14" s="4">
        <f>IFERROR(ROUND(COUNTIFS(Тест!$A$2:$A$19,"О*",Тест!$E$2:$E$19,2)/COUNTIFS(Тест!$A$2:$A$19,"О*",Тест!$E$2:$E$19,"&lt;&gt;")*100,1),"")</f>
        <v/>
      </c>
      <c r="C14" s="4">
        <f>IFERROR(ROUND(COUNTIFS(Тест!$A$2:$A$19,"Ә*",Тест!$E$2:$E$19,2)/COUNTIFS(Тест!$A$2:$A$19,"Ә*",Тест!$E$2:$E$19,"&lt;&gt;")*100,1),"")</f>
        <v/>
      </c>
      <c r="D14" s="4">
        <f>IFERROR(ROUND(COUNTIFS(Тест!$A$2:$A$19,"Ү*",Тест!$E$2:$E$19,2)/COUNTIFS(Тест!$A$2:$A$19,"Ү*",Тест!$E$2:$E$19,"&lt;&gt;")*100,1),"")</f>
        <v/>
      </c>
    </row>
    <row r="15">
      <c r="A15" s="5" t="inlineStr">
        <is>
          <t>болыс</t>
        </is>
      </c>
      <c r="B15" s="4">
        <f>IFERROR(ROUND(COUNTIFS(Тест!$A$2:$A$19,"О*",Тест!$G$2:$G$19,2)/COUNTIFS(Тест!$A$2:$A$19,"О*",Тест!$G$2:$G$19,"&lt;&gt;")*100,1),"")</f>
        <v/>
      </c>
      <c r="C15" s="4">
        <f>IFERROR(ROUND(COUNTIFS(Тест!$A$2:$A$19,"Ә*",Тест!$G$2:$G$19,2)/COUNTIFS(Тест!$A$2:$A$19,"Ә*",Тест!$G$2:$G$19,"&lt;&gt;")*100,1),"")</f>
        <v/>
      </c>
      <c r="D15" s="4">
        <f>IFERROR(ROUND(COUNTIFS(Тест!$A$2:$A$19,"Ү*",Тест!$G$2:$G$19,2)/COUNTIFS(Тест!$A$2:$A$19,"Ү*",Тест!$G$2:$G$19,"&lt;&gt;")*100,1),"")</f>
        <v/>
      </c>
    </row>
    <row r="16">
      <c r="A16" s="5" t="inlineStr">
        <is>
          <t>әкім</t>
        </is>
      </c>
      <c r="B16" s="4">
        <f>IFERROR(ROUND(COUNTIFS(Тест!$A$2:$A$19,"О*",Тест!$I$2:$I$19,2)/COUNTIFS(Тест!$A$2:$A$19,"О*",Тест!$I$2:$I$19,"&lt;&gt;")*100,1),"")</f>
        <v/>
      </c>
      <c r="C16" s="4">
        <f>IFERROR(ROUND(COUNTIFS(Тест!$A$2:$A$19,"Ә*",Тест!$I$2:$I$19,2)/COUNTIFS(Тест!$A$2:$A$19,"Ә*",Тест!$I$2:$I$19,"&lt;&gt;")*100,1),"")</f>
        <v/>
      </c>
      <c r="D16" s="4">
        <f>IFERROR(ROUND(COUNTIFS(Тест!$A$2:$A$19,"Ү*",Тест!$I$2:$I$19,2)/COUNTIFS(Тест!$A$2:$A$19,"Ү*",Тест!$I$2:$I$19,"&lt;&gt;")*100,1),"")</f>
        <v/>
      </c>
    </row>
    <row r="17">
      <c r="A17" s="5" t="inlineStr">
        <is>
          <t>жарлық</t>
        </is>
      </c>
      <c r="B17" s="4">
        <f>IFERROR(ROUND(COUNTIFS(Тест!$A$2:$A$19,"О*",Тест!$K$2:$K$19,2)/COUNTIFS(Тест!$A$2:$A$19,"О*",Тест!$K$2:$K$19,"&lt;&gt;")*100,1),"")</f>
        <v/>
      </c>
      <c r="C17" s="4">
        <f>IFERROR(ROUND(COUNTIFS(Тест!$A$2:$A$19,"Ә*",Тест!$K$2:$K$19,2)/COUNTIFS(Тест!$A$2:$A$19,"Ә*",Тест!$K$2:$K$19,"&lt;&gt;")*100,1),"")</f>
        <v/>
      </c>
      <c r="D17" s="4">
        <f>IFERROR(ROUND(COUNTIFS(Тест!$A$2:$A$19,"Ү*",Тест!$K$2:$K$19,2)/COUNTIFS(Тест!$A$2:$A$19,"Ү*",Тест!$K$2:$K$19,"&lt;&gt;")*100,1),"")</f>
        <v/>
      </c>
    </row>
    <row r="18">
      <c r="A18" s="5" t="inlineStr">
        <is>
          <t>пәрмен</t>
        </is>
      </c>
      <c r="B18" s="4">
        <f>IFERROR(ROUND(COUNTIFS(Тест!$A$2:$A$19,"О*",Тест!$M$2:$M$19,2)/COUNTIFS(Тест!$A$2:$A$19,"О*",Тест!$M$2:$M$19,"&lt;&gt;")*100,1),"")</f>
        <v/>
      </c>
      <c r="C18" s="4">
        <f>IFERROR(ROUND(COUNTIFS(Тест!$A$2:$A$19,"Ә*",Тест!$M$2:$M$19,2)/COUNTIFS(Тест!$A$2:$A$19,"Ә*",Тест!$M$2:$M$19,"&lt;&gt;")*100,1),"")</f>
        <v/>
      </c>
      <c r="D18" s="4">
        <f>IFERROR(ROUND(COUNTIFS(Тест!$A$2:$A$19,"Ү*",Тест!$M$2:$M$19,2)/COUNTIFS(Тест!$A$2:$A$19,"Ү*",Тест!$M$2:$M$19,"&lt;&gt;")*100,1),"")</f>
        <v/>
      </c>
    </row>
    <row r="19">
      <c r="A19" s="5" t="inlineStr">
        <is>
          <t>батпан</t>
        </is>
      </c>
      <c r="B19" s="4">
        <f>IFERROR(ROUND(COUNTIFS(Тест!$A$2:$A$19,"О*",Тест!$O$2:$O$19,2)/COUNTIFS(Тест!$A$2:$A$19,"О*",Тест!$O$2:$O$19,"&lt;&gt;")*100,1),"")</f>
        <v/>
      </c>
      <c r="C19" s="4">
        <f>IFERROR(ROUND(COUNTIFS(Тест!$A$2:$A$19,"Ә*",Тест!$O$2:$O$19,2)/COUNTIFS(Тест!$A$2:$A$19,"Ә*",Тест!$O$2:$O$19,"&lt;&gt;")*100,1),"")</f>
        <v/>
      </c>
      <c r="D19" s="4">
        <f>IFERROR(ROUND(COUNTIFS(Тест!$A$2:$A$19,"Ү*",Тест!$O$2:$O$19,2)/COUNTIFS(Тест!$A$2:$A$19,"Ү*",Тест!$O$2:$O$19,"&lt;&gt;")*100,1),"")</f>
        <v/>
      </c>
    </row>
    <row r="20">
      <c r="A20" s="5" t="inlineStr">
        <is>
          <t>тиын</t>
        </is>
      </c>
      <c r="B20" s="4">
        <f>IFERROR(ROUND(COUNTIFS(Тест!$A$2:$A$19,"О*",Тест!$Q$2:$Q$19,2)/COUNTIFS(Тест!$A$2:$A$19,"О*",Тест!$Q$2:$Q$19,"&lt;&gt;")*100,1),"")</f>
        <v/>
      </c>
      <c r="C20" s="4">
        <f>IFERROR(ROUND(COUNTIFS(Тест!$A$2:$A$19,"Ә*",Тест!$Q$2:$Q$19,2)/COUNTIFS(Тест!$A$2:$A$19,"Ә*",Тест!$Q$2:$Q$19,"&lt;&gt;")*100,1),"")</f>
        <v/>
      </c>
      <c r="D20" s="4">
        <f>IFERROR(ROUND(COUNTIFS(Тест!$A$2:$A$19,"Ү*",Тест!$Q$2:$Q$19,2)/COUNTIFS(Тест!$A$2:$A$19,"Ү*",Тест!$Q$2:$Q$19,"&lt;&gt;")*100,1),"")</f>
        <v/>
      </c>
    </row>
    <row r="21">
      <c r="A21" s="5" t="inlineStr">
        <is>
          <t>кебенек</t>
        </is>
      </c>
      <c r="B21" s="4">
        <f>IFERROR(ROUND(COUNTIFS(Тест!$A$2:$A$19,"О*",Тест!$S$2:$S$19,2)/COUNTIFS(Тест!$A$2:$A$19,"О*",Тест!$S$2:$S$19,"&lt;&gt;")*100,1),"")</f>
        <v/>
      </c>
      <c r="C21" s="4">
        <f>IFERROR(ROUND(COUNTIFS(Тест!$A$2:$A$19,"Ә*",Тест!$S$2:$S$19,2)/COUNTIFS(Тест!$A$2:$A$19,"Ә*",Тест!$S$2:$S$19,"&lt;&gt;")*100,1),"")</f>
        <v/>
      </c>
      <c r="D21" s="4">
        <f>IFERROR(ROUND(COUNTIFS(Тест!$A$2:$A$19,"Ү*",Тест!$S$2:$S$19,2)/COUNTIFS(Тест!$A$2:$A$19,"Ү*",Тест!$S$2:$S$19,"&lt;&gt;")*100,1),"")</f>
        <v/>
      </c>
    </row>
    <row r="22">
      <c r="A22" s="5" t="inlineStr">
        <is>
          <t>сәукеле</t>
        </is>
      </c>
      <c r="B22" s="4">
        <f>IFERROR(ROUND(COUNTIFS(Тест!$A$2:$A$19,"О*",Тест!$U$2:$U$19,2)/COUNTIFS(Тест!$A$2:$A$19,"О*",Тест!$U$2:$U$19,"&lt;&gt;")*100,1),"")</f>
        <v/>
      </c>
      <c r="C22" s="4">
        <f>IFERROR(ROUND(COUNTIFS(Тест!$A$2:$A$19,"Ә*",Тест!$U$2:$U$19,2)/COUNTIFS(Тест!$A$2:$A$19,"Ә*",Тест!$U$2:$U$19,"&lt;&gt;")*100,1),"")</f>
        <v/>
      </c>
      <c r="D22" s="4">
        <f>IFERROR(ROUND(COUNTIFS(Тест!$A$2:$A$19,"Ү*",Тест!$U$2:$U$19,2)/COUNTIFS(Тест!$A$2:$A$19,"Ү*",Тест!$U$2:$U$19,"&lt;&gt;")*100,1),"")</f>
        <v/>
      </c>
    </row>
    <row r="23">
      <c r="A23" s="5" t="inlineStr">
        <is>
          <t>тамұқ</t>
        </is>
      </c>
      <c r="B23" s="4">
        <f>IFERROR(ROUND(COUNTIFS(Тест!$A$2:$A$19,"О*",Тест!$W$2:$W$19,2)/COUNTIFS(Тест!$A$2:$A$19,"О*",Тест!$W$2:$W$19,"&lt;&gt;")*100,1),"")</f>
        <v/>
      </c>
      <c r="C23" s="4">
        <f>IFERROR(ROUND(COUNTIFS(Тест!$A$2:$A$19,"Ә*",Тест!$W$2:$W$19,2)/COUNTIFS(Тест!$A$2:$A$19,"Ә*",Тест!$W$2:$W$19,"&lt;&gt;")*100,1),"")</f>
        <v/>
      </c>
      <c r="D23" s="4">
        <f>IFERROR(ROUND(COUNTIFS(Тест!$A$2:$A$19,"Ү*",Тест!$W$2:$W$19,2)/COUNTIFS(Тест!$A$2:$A$19,"Ү*",Тест!$W$2:$W$19,"&lt;&gt;")*100,1),"")</f>
        <v/>
      </c>
    </row>
    <row r="24">
      <c r="A24" s="5" t="inlineStr">
        <is>
          <t>тұлпар</t>
        </is>
      </c>
      <c r="B24" s="4">
        <f>IFERROR(ROUND(COUNTIFS(Тест!$A$2:$A$19,"О*",Тест!$Y$2:$Y$19,2)/COUNTIFS(Тест!$A$2:$A$19,"О*",Тест!$Y$2:$Y$19,"&lt;&gt;")*100,1),"")</f>
        <v/>
      </c>
      <c r="C24" s="4">
        <f>IFERROR(ROUND(COUNTIFS(Тест!$A$2:$A$19,"Ә*",Тест!$Y$2:$Y$19,2)/COUNTIFS(Тест!$A$2:$A$19,"Ә*",Тест!$Y$2:$Y$19,"&lt;&gt;")*100,1),"")</f>
        <v/>
      </c>
      <c r="D24" s="4">
        <f>IFERROR(ROUND(COUNTIFS(Тест!$A$2:$A$19,"Ү*",Тест!$Y$2:$Y$19,2)/COUNTIFS(Тест!$A$2:$A$19,"Ү*",Тест!$Y$2:$Y$19,"&lt;&gt;")*100,1),"")</f>
        <v/>
      </c>
    </row>
  </sheetData>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2026-10-06T08:27:40Z</dcterms:created>
  <dcterms:modified xmlns:dcterms="http://purl.org/dc/terms/" xmlns:xsi="http://www.w3.org/2001/XMLSchema-instance" xsi:type="dcterms:W3CDTF">2026-10-06T08:27:40Z</dcterms:modified>
</cp:coreProperties>
</file>