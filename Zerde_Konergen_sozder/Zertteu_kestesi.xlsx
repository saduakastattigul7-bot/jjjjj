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Нұсқау" sheetId="1" state="visible" r:id="rId1"/>
    <sheet xmlns:r="http://schemas.openxmlformats.org/officeDocument/2006/relationships" name="Сөздер" sheetId="2" state="visible" r:id="rId2"/>
    <sheet xmlns:r="http://schemas.openxmlformats.org/officeDocument/2006/relationships" name="Серуен" sheetId="3" state="visible" r:id="rId3"/>
    <sheet xmlns:r="http://schemas.openxmlformats.org/officeDocument/2006/relationships" name="БАҚ мониторингі" sheetId="4" state="visible" r:id="rId4"/>
    <sheet xmlns:r="http://schemas.openxmlformats.org/officeDocument/2006/relationships" name="Тест" sheetId="5" state="visible" r:id="rId5"/>
    <sheet xmlns:r="http://schemas.openxmlformats.org/officeDocument/2006/relationships" name="Қорытынды" sheetId="6" state="visible" r:id="rId6"/>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2"/>
    </font>
    <font>
      <sz val="11"/>
    </font>
    <font>
      <b val="1"/>
    </font>
  </fonts>
  <fills count="4">
    <fill>
      <patternFill/>
    </fill>
    <fill>
      <patternFill patternType="gray125"/>
    </fill>
    <fill>
      <patternFill patternType="solid">
        <fgColor rgb="00DCE6F1"/>
      </patternFill>
    </fill>
    <fill>
      <patternFill patternType="solid">
        <fgColor rgb="00FFF2CC"/>
      </patternFill>
    </fill>
  </fills>
  <borders count="2">
    <border>
      <left/>
      <right/>
      <top/>
      <bottom/>
      <diagonal/>
    </border>
    <border>
      <left style="thin">
        <color rgb="00999999"/>
      </left>
      <right style="thin">
        <color rgb="00999999"/>
      </right>
      <top style="thin">
        <color rgb="00999999"/>
      </top>
      <bottom style="thin">
        <color rgb="00999999"/>
      </bottom>
    </border>
  </borders>
  <cellStyleXfs count="1">
    <xf numFmtId="0" fontId="0" fillId="0" borderId="0"/>
  </cellStyleXfs>
  <cellXfs count="11">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2" borderId="1" applyAlignment="1" pivotButton="0" quotePrefix="0" xfId="0">
      <alignment horizontal="center" vertical="center" wrapText="1"/>
    </xf>
    <xf numFmtId="0" fontId="0" fillId="0" borderId="1" applyAlignment="1" pivotButton="0" quotePrefix="0" xfId="0">
      <alignment horizontal="center" vertical="center" wrapText="1"/>
    </xf>
    <xf numFmtId="0" fontId="0" fillId="0" borderId="1" applyAlignment="1" pivotButton="0" quotePrefix="0" xfId="0">
      <alignment vertical="top" wrapText="1"/>
    </xf>
    <xf numFmtId="0" fontId="0" fillId="3" borderId="1" applyAlignment="1" pivotButton="0" quotePrefix="0" xfId="0">
      <alignment horizontal="center" vertical="center" wrapText="1"/>
    </xf>
    <xf numFmtId="0" fontId="0" fillId="3" borderId="1" applyAlignment="1" pivotButton="0" quotePrefix="0" xfId="0">
      <alignment vertical="top" wrapText="1"/>
    </xf>
    <xf numFmtId="0" fontId="3" fillId="0" borderId="1" applyAlignment="1" pivotButton="0" quotePrefix="0" xfId="0">
      <alignment horizontal="center" vertical="center" wrapText="1"/>
    </xf>
    <xf numFmtId="0" fontId="3" fillId="0" borderId="0" pivotButton="0" quotePrefix="0" xfId="0"/>
    <xf numFmtId="0" fontId="3" fillId="0"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Сөздердің бүгінгі мәртебесі</a:t>
            </a:r>
          </a:p>
        </rich>
      </tx>
    </title>
    <plotArea>
      <barChart>
        <barDir val="bar"/>
        <grouping val="stacked"/>
        <ser>
          <idx val="0"/>
          <order val="0"/>
          <tx>
            <strRef>
              <f>'Қорытынды'!B2</f>
            </strRef>
          </tx>
          <spPr>
            <a:ln xmlns:a="http://schemas.openxmlformats.org/drawingml/2006/main">
              <a:prstDash val="solid"/>
            </a:ln>
          </spPr>
          <cat>
            <numRef>
              <f>'Қорытынды'!$A$3:$A$8</f>
            </numRef>
          </cat>
          <val>
            <numRef>
              <f>'Қорытынды'!$B$3:$B$8</f>
            </numRef>
          </val>
        </ser>
        <ser>
          <idx val="1"/>
          <order val="1"/>
          <tx>
            <strRef>
              <f>'Қорытынды'!C2</f>
            </strRef>
          </tx>
          <spPr>
            <a:ln xmlns:a="http://schemas.openxmlformats.org/drawingml/2006/main">
              <a:prstDash val="solid"/>
            </a:ln>
          </spPr>
          <cat>
            <numRef>
              <f>'Қорытынды'!$A$3:$A$8</f>
            </numRef>
          </cat>
          <val>
            <numRef>
              <f>'Қорытынды'!$C$3:$C$8</f>
            </numRef>
          </val>
        </ser>
        <ser>
          <idx val="2"/>
          <order val="2"/>
          <tx>
            <strRef>
              <f>'Қорытынды'!D2</f>
            </strRef>
          </tx>
          <spPr>
            <a:ln xmlns:a="http://schemas.openxmlformats.org/drawingml/2006/main">
              <a:prstDash val="solid"/>
            </a:ln>
          </spPr>
          <cat>
            <numRef>
              <f>'Қорытынды'!$A$3:$A$8</f>
            </numRef>
          </cat>
          <val>
            <numRef>
              <f>'Қорытынды'!$D$3:$D$8</f>
            </numRef>
          </val>
        </ser>
        <ser>
          <idx val="3"/>
          <order val="3"/>
          <tx>
            <strRef>
              <f>'Қорытынды'!E2</f>
            </strRef>
          </tx>
          <spPr>
            <a:ln xmlns:a="http://schemas.openxmlformats.org/drawingml/2006/main">
              <a:prstDash val="solid"/>
            </a:ln>
          </spPr>
          <cat>
            <numRef>
              <f>'Қорытынды'!$A$3:$A$8</f>
            </numRef>
          </cat>
          <val>
            <numRef>
              <f>'Қорытынды'!$E$3:$E$8</f>
            </numRef>
          </val>
        </ser>
        <gapWidth val="150"/>
        <overlap val="10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Сөзді дұрыс түсіндіргендер, %</a:t>
            </a:r>
          </a:p>
        </rich>
      </tx>
    </title>
    <plotArea>
      <barChart>
        <barDir val="col"/>
        <grouping val="clustered"/>
        <ser>
          <idx val="0"/>
          <order val="0"/>
          <tx>
            <strRef>
              <f>'Қорытынды'!B12</f>
            </strRef>
          </tx>
          <spPr>
            <a:ln xmlns:a="http://schemas.openxmlformats.org/drawingml/2006/main">
              <a:prstDash val="solid"/>
            </a:ln>
          </spPr>
          <cat>
            <numRef>
              <f>'Қорытынды'!$A$13:$A$24</f>
            </numRef>
          </cat>
          <val>
            <numRef>
              <f>'Қорытынды'!$B$13:$B$24</f>
            </numRef>
          </val>
        </ser>
        <ser>
          <idx val="1"/>
          <order val="1"/>
          <tx>
            <strRef>
              <f>'Қорытынды'!C12</f>
            </strRef>
          </tx>
          <spPr>
            <a:ln xmlns:a="http://schemas.openxmlformats.org/drawingml/2006/main">
              <a:prstDash val="solid"/>
            </a:ln>
          </spPr>
          <cat>
            <numRef>
              <f>'Қорытынды'!$A$13:$A$24</f>
            </numRef>
          </cat>
          <val>
            <numRef>
              <f>'Қорытынды'!$C$13:$C$24</f>
            </numRef>
          </val>
        </ser>
        <ser>
          <idx val="2"/>
          <order val="2"/>
          <tx>
            <strRef>
              <f>'Қорытынды'!D12</f>
            </strRef>
          </tx>
          <spPr>
            <a:ln xmlns:a="http://schemas.openxmlformats.org/drawingml/2006/main">
              <a:prstDash val="solid"/>
            </a:ln>
          </spPr>
          <cat>
            <numRef>
              <f>'Қорытынды'!$A$13:$A$24</f>
            </numRef>
          </cat>
          <val>
            <numRef>
              <f>'Қорытынды'!$D$13:$D$24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drawing1.xml><?xml version="1.0" encoding="utf-8"?>
<wsDr xmlns="http://schemas.openxmlformats.org/drawingml/2006/spreadsheetDrawing">
  <oneCellAnchor>
    <from>
      <col>8</col>
      <colOff>0</colOff>
      <row>0</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8</col>
      <colOff>0</colOff>
      <row>17</row>
      <rowOff>0</rowOff>
    </from>
    <ext cx="648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6.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fitToPage="1"/>
  </sheetPr>
  <dimension ref="A1:A28"/>
  <sheetViews>
    <sheetView workbookViewId="0">
      <selection activeCell="A1" sqref="A1"/>
    </sheetView>
  </sheetViews>
  <sheetFormatPr baseColWidth="8" defaultRowHeight="15"/>
  <cols>
    <col width="120" customWidth="1" min="1" max="1"/>
  </cols>
  <sheetData>
    <row r="1">
      <c r="A1" s="1" t="inlineStr">
        <is>
          <t>ЗЕРТТЕУ КЕСТЕСІН ТОЛТЫРУ НҰСҚАУЫ</t>
        </is>
      </c>
    </row>
    <row r="2">
      <c r="A2" s="2" t="inlineStr">
        <is>
          <t>Сары ұяшықтарды ғана толтырыңыз. «Мәртебе» бағаны мен «Қорытынды» парағы өздігінен есептеледі.</t>
        </is>
      </c>
    </row>
    <row r="3">
      <c r="A3" s="2" t="inlineStr"/>
    </row>
    <row r="4">
      <c r="A4" s="1" t="inlineStr">
        <is>
          <t>1-КЕЗЕҢ. Сөздікпен тексеру («Сөздер» парағы)</t>
        </is>
      </c>
    </row>
    <row r="5">
      <c r="A5" s="2" t="inlineStr">
        <is>
          <t>1. Әр сөзді «Қазақ әдеби тілінің сөздігінен» (15 томдық) тауып, оның жанындағы белгіні жазыңыз: «көн.» (көнерген), «тар.» (тарихи), белгі жоқ немесе сөздікте жоқ.</t>
        </is>
      </c>
    </row>
    <row r="6">
      <c r="A6" s="2" t="inlineStr">
        <is>
          <t>2. Томы мен бетін көрсетіңіз. Сөздікті кітапханадан немесе sozdikqor.kz сайтынан қарауға болады.</t>
        </is>
      </c>
    </row>
    <row r="7">
      <c r="A7" s="2" t="inlineStr"/>
    </row>
    <row r="8">
      <c r="A8" s="1" t="inlineStr">
        <is>
          <t>2-КЕЗЕҢ. БАҚ мониторингі («БАҚ мониторингі» парағы)</t>
        </is>
      </c>
    </row>
    <row r="9">
      <c r="A9" s="2" t="inlineStr">
        <is>
          <t>3. Google іздеу жолына: site:egemen.kz "сауыт" деп жазыңыз. «Құралдар» → «Кез келген уақыт» → «Соңғы жыл» таңдаңыз. Шыққан нәтиже санын жазыңыз (мысалы, «Шамамен 45 нәтиже» болса – 45). Нәтиже жоқ болса – 0.</t>
        </is>
      </c>
    </row>
    <row r="10">
      <c r="A10" s="2" t="inlineStr">
        <is>
          <t>4. Дәл солай site:kaz.tengrinews.kz үшін де іздеңіз. Барлық сөзді бір-екі күн ішінде тексеріңіз, күнін жазыңыз.</t>
        </is>
      </c>
    </row>
    <row r="11">
      <c r="A11" s="2" t="inlineStr">
        <is>
          <t>5. Ең жаңа мақаланы ашып, сөз тұрған сөйлемді көшіріп алыңыз және сілтемесін жазыңыз. Сөйлемнің мәнмәтінін бір кодпен белгілеңіз:</t>
        </is>
      </c>
    </row>
    <row r="12">
      <c r="A12" s="2" t="inlineStr">
        <is>
          <t xml:space="preserve">     Ж – Жаңа мағынада: Сөз бүгінгі өмірдегі нәрсені атайды: «Мемлекет басшысының Жарлығы», «аудан әкімі»</t>
        </is>
      </c>
    </row>
    <row r="13">
      <c r="A13" s="2" t="inlineStr">
        <is>
          <t xml:space="preserve">     А – Атау ішінде: Сөз ұйымның, дүкеннің, жобаның, марапаттың не команданың атауында тұр: «Тұлпар» клубы</t>
        </is>
      </c>
    </row>
    <row r="14">
      <c r="A14" s="2" t="inlineStr">
        <is>
          <t xml:space="preserve">     Т – Тарихи-мәдени мәтінде: Сөз тарих, мұражай, әдебиет, этнография туралы мақалада өз мағынасында қолданылған</t>
        </is>
      </c>
    </row>
    <row r="15">
      <c r="A15" s="2" t="inlineStr">
        <is>
          <t xml:space="preserve">     Б – Бейнелі мағынада: Сөз ауыспалы мағынада қолданылған: «білім – сауыт», «ой тұлпары»</t>
        </is>
      </c>
    </row>
    <row r="16">
      <c r="A16" s="2" t="inlineStr"/>
    </row>
    <row r="17">
      <c r="A17" s="1" t="inlineStr">
        <is>
          <t>3-КЕЗЕҢ. Лингвистикалық серуен («Серуен» парағы)</t>
        </is>
      </c>
    </row>
    <row r="18">
      <c r="A18" s="2" t="inlineStr">
        <is>
          <t>6. Ересек адаммен бірге қаланың (ауылдың) 2–3 көшесін, базарды не сауда орталығын аралаңыз. Маңдайшаларды, көше атауларын, жарнамаларды қараңыз.</t>
        </is>
      </c>
    </row>
    <row r="19">
      <c r="A19" s="2" t="inlineStr">
        <is>
          <t>7. Көне сөз кездескен әр жазуды суретке түсіріңіз (тек жазуды, адамдардың бетін және көлік нөмірлерін түсірмеңіз) және кестеге бір жол етіп жазыңыз.</t>
        </is>
      </c>
    </row>
    <row r="20">
      <c r="A20" s="2" t="inlineStr">
        <is>
          <t>8. Тізімде жоқ көне сөз кездессе, «басқа» деп таңдап, сөзді келесі бағанға жазыңыз.</t>
        </is>
      </c>
    </row>
    <row r="21">
      <c r="A21" s="2" t="inlineStr"/>
    </row>
    <row r="22">
      <c r="A22" s="1" t="inlineStr">
        <is>
          <t>4-КЕЗЕҢ. Үш буынға сөз тану тесті («Тест» парағы)</t>
        </is>
      </c>
    </row>
    <row r="23">
      <c r="A23" s="2" t="inlineStr">
        <is>
          <t>9. Әр буыннан 6 адам: оқушылар, ата-аналар, ата-әжелер. Келісімін алыңыз (оқушылар үшін – ата-анасының келісімі). Есімдерін жазбаңыз – тек код.</t>
        </is>
      </c>
    </row>
    <row r="24">
      <c r="A24" s="2" t="inlineStr">
        <is>
          <t>10. Әр сөзді атап: «Бұл сөздің мағынасы қандай?» деп сұраңыз. 2 – дұрыс түсіндірді, 1 – шамамен түсіндірді, 0 – білмейді. Сөздің мағынасын айтып, көмектеспеңіз.</t>
        </is>
      </c>
    </row>
    <row r="25">
      <c r="A25" s="2" t="inlineStr">
        <is>
          <t>11. Сосын: «Бұл сөзді соңғы бір жылда естідіңіз бе немесе өзіңіз қолдандыңыз ба?» деп сұраңыз: 1 – иә, 0 – жоқ.</t>
        </is>
      </c>
    </row>
    <row r="26">
      <c r="A26" s="2" t="inlineStr"/>
    </row>
    <row r="27">
      <c r="A27" s="1" t="inlineStr">
        <is>
          <t>МӘРТЕБЕ ЕРЕЖЕСІ (жетекшіммен келісілген)</t>
        </is>
      </c>
    </row>
    <row r="28">
      <c r="A28" s="2" t="inlineStr">
        <is>
          <t>Ұ – екі сайттағы нәтиже саны 5-тен аз және көшеде кездеспесе; Ж – әйтпесе, мысалдың біреуі «Ж» болса; А – мысал «А» болса немесе көшеде кездессе; Т – қалған жағдайда.</t>
        </is>
      </c>
    </row>
  </sheetData>
  <pageMargins left="0.75" right="0.75" top="1" bottom="1" header="0.5" footer="0.5"/>
  <pageSetup orientation="landscape" paperSize="9" fitToHeight="0" fitToWidth="1"/>
</worksheet>
</file>

<file path=xl/worksheets/sheet2.xml><?xml version="1.0" encoding="utf-8"?>
<worksheet xmlns="http://schemas.openxmlformats.org/spreadsheetml/2006/main">
  <sheetPr>
    <outlinePr summaryBelow="1" summaryRight="1"/>
    <pageSetUpPr fitToPage="1"/>
  </sheetPr>
  <dimension ref="A1:G3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4" customWidth="1" min="2" max="2"/>
    <col width="26" customWidth="1" min="3" max="3"/>
    <col width="14" customWidth="1" min="4" max="4"/>
    <col width="52" customWidth="1" min="5" max="5"/>
    <col width="14" customWidth="1" min="6" max="6"/>
    <col width="12" customWidth="1" min="7" max="7"/>
  </cols>
  <sheetData>
    <row r="1" ht="45" customHeight="1">
      <c r="A1" s="3" t="inlineStr">
        <is>
          <t>№</t>
        </is>
      </c>
      <c r="B1" s="3" t="inlineStr">
        <is>
          <t>Сөз</t>
        </is>
      </c>
      <c r="C1" s="3" t="inlineStr">
        <is>
          <t>Тақырыптық топ</t>
        </is>
      </c>
      <c r="D1" s="3" t="inlineStr">
        <is>
          <t>Түрі (алдын ала)</t>
        </is>
      </c>
      <c r="E1" s="3" t="inlineStr">
        <is>
          <t>Мағынасы</t>
        </is>
      </c>
      <c r="F1" s="3" t="inlineStr">
        <is>
          <t>Сөздіктегі белгі</t>
        </is>
      </c>
      <c r="G1" s="3" t="inlineStr">
        <is>
          <t>Томы, беті</t>
        </is>
      </c>
    </row>
    <row r="2">
      <c r="A2" s="4" t="n">
        <v>1</v>
      </c>
      <c r="B2" s="5" t="inlineStr">
        <is>
          <t>сауыт</t>
        </is>
      </c>
      <c r="C2" s="5" t="inlineStr">
        <is>
          <t>Әскери іс және қару-жарақ</t>
        </is>
      </c>
      <c r="D2" s="4" t="inlineStr">
        <is>
          <t>Тарихи сөз</t>
        </is>
      </c>
      <c r="E2" s="5" t="inlineStr">
        <is>
          <t>темір сақиналардан тоқылған қорғаныс киімі</t>
        </is>
      </c>
      <c r="F2" s="6" t="n"/>
      <c r="G2" s="6" t="n"/>
    </row>
    <row r="3">
      <c r="A3" s="4" t="n">
        <v>2</v>
      </c>
      <c r="B3" s="5" t="inlineStr">
        <is>
          <t>дулыға</t>
        </is>
      </c>
      <c r="C3" s="5" t="inlineStr">
        <is>
          <t>Әскери іс және қару-жарақ</t>
        </is>
      </c>
      <c r="D3" s="4" t="inlineStr">
        <is>
          <t>Тарихи сөз</t>
        </is>
      </c>
      <c r="E3" s="5" t="inlineStr">
        <is>
          <t>соғыста киетін темір бас киім</t>
        </is>
      </c>
      <c r="F3" s="6" t="n"/>
      <c r="G3" s="6" t="n"/>
    </row>
    <row r="4">
      <c r="A4" s="4" t="n">
        <v>3</v>
      </c>
      <c r="B4" s="5" t="inlineStr">
        <is>
          <t>садақ</t>
        </is>
      </c>
      <c r="C4" s="5" t="inlineStr">
        <is>
          <t>Әскери іс және қару-жарақ</t>
        </is>
      </c>
      <c r="D4" s="4" t="inlineStr">
        <is>
          <t>Тарихи сөз</t>
        </is>
      </c>
      <c r="E4" s="5" t="inlineStr">
        <is>
          <t>жебе атуға арналған ежелгі қару</t>
        </is>
      </c>
      <c r="F4" s="6" t="n"/>
      <c r="G4" s="6" t="n"/>
    </row>
    <row r="5">
      <c r="A5" s="4" t="n">
        <v>4</v>
      </c>
      <c r="B5" s="5" t="inlineStr">
        <is>
          <t>қорамсақ</t>
        </is>
      </c>
      <c r="C5" s="5" t="inlineStr">
        <is>
          <t>Әскери іс және қару-жарақ</t>
        </is>
      </c>
      <c r="D5" s="4" t="inlineStr">
        <is>
          <t>Тарихи сөз</t>
        </is>
      </c>
      <c r="E5" s="5" t="inlineStr">
        <is>
          <t>жебе салатын қап</t>
        </is>
      </c>
      <c r="F5" s="6" t="n"/>
      <c r="G5" s="6" t="n"/>
    </row>
    <row r="6">
      <c r="A6" s="4" t="n">
        <v>5</v>
      </c>
      <c r="B6" s="5" t="inlineStr">
        <is>
          <t>сарбаз</t>
        </is>
      </c>
      <c r="C6" s="5" t="inlineStr">
        <is>
          <t>Әскери іс және қару-жарақ</t>
        </is>
      </c>
      <c r="D6" s="4" t="inlineStr">
        <is>
          <t>Архаизм</t>
        </is>
      </c>
      <c r="E6" s="5" t="inlineStr">
        <is>
          <t>жауынгер, әскери адам</t>
        </is>
      </c>
      <c r="F6" s="6" t="n"/>
      <c r="G6" s="6" t="n"/>
    </row>
    <row r="7">
      <c r="A7" s="4" t="n">
        <v>6</v>
      </c>
      <c r="B7" s="5" t="inlineStr">
        <is>
          <t>жасақ</t>
        </is>
      </c>
      <c r="C7" s="5" t="inlineStr">
        <is>
          <t>Әскери іс және қару-жарақ</t>
        </is>
      </c>
      <c r="D7" s="4" t="inlineStr">
        <is>
          <t>Архаизм</t>
        </is>
      </c>
      <c r="E7" s="5" t="inlineStr">
        <is>
          <t>қарулы топ, әскери бөлім</t>
        </is>
      </c>
      <c r="F7" s="6" t="n"/>
      <c r="G7" s="6" t="n"/>
    </row>
    <row r="8">
      <c r="A8" s="4" t="n">
        <v>7</v>
      </c>
      <c r="B8" s="5" t="inlineStr">
        <is>
          <t>болыс</t>
        </is>
      </c>
      <c r="C8" s="5" t="inlineStr">
        <is>
          <t>Билік және басқару</t>
        </is>
      </c>
      <c r="D8" s="4" t="inlineStr">
        <is>
          <t>Тарихи сөз</t>
        </is>
      </c>
      <c r="E8" s="5" t="inlineStr">
        <is>
          <t>патшалық Ресей кезінде болыстықты басқарған адам</t>
        </is>
      </c>
      <c r="F8" s="6" t="n"/>
      <c r="G8" s="6" t="n"/>
    </row>
    <row r="9">
      <c r="A9" s="4" t="n">
        <v>8</v>
      </c>
      <c r="B9" s="5" t="inlineStr">
        <is>
          <t>ауылнай</t>
        </is>
      </c>
      <c r="C9" s="5" t="inlineStr">
        <is>
          <t>Билік және басқару</t>
        </is>
      </c>
      <c r="D9" s="4" t="inlineStr">
        <is>
          <t>Тарихи сөз</t>
        </is>
      </c>
      <c r="E9" s="5" t="inlineStr">
        <is>
          <t>ауылды басқарған лауазымды адам</t>
        </is>
      </c>
      <c r="F9" s="6" t="n"/>
      <c r="G9" s="6" t="n"/>
    </row>
    <row r="10">
      <c r="A10" s="4" t="n">
        <v>9</v>
      </c>
      <c r="B10" s="5" t="inlineStr">
        <is>
          <t>уәзір</t>
        </is>
      </c>
      <c r="C10" s="5" t="inlineStr">
        <is>
          <t>Билік және басқару</t>
        </is>
      </c>
      <c r="D10" s="4" t="inlineStr">
        <is>
          <t>Тарихи сөз</t>
        </is>
      </c>
      <c r="E10" s="5" t="inlineStr">
        <is>
          <t>ханның кеңесшісі, бас министр</t>
        </is>
      </c>
      <c r="F10" s="6" t="n"/>
      <c r="G10" s="6" t="n"/>
    </row>
    <row r="11">
      <c r="A11" s="4" t="n">
        <v>10</v>
      </c>
      <c r="B11" s="5" t="inlineStr">
        <is>
          <t>әкім</t>
        </is>
      </c>
      <c r="C11" s="5" t="inlineStr">
        <is>
          <t>Билік және басқару</t>
        </is>
      </c>
      <c r="D11" s="4" t="inlineStr">
        <is>
          <t>Архаизм</t>
        </is>
      </c>
      <c r="E11" s="5" t="inlineStr">
        <is>
          <t>билеуші, басқарушы</t>
        </is>
      </c>
      <c r="F11" s="6" t="n"/>
      <c r="G11" s="6" t="n"/>
    </row>
    <row r="12">
      <c r="A12" s="4" t="n">
        <v>11</v>
      </c>
      <c r="B12" s="5" t="inlineStr">
        <is>
          <t>құрылтай</t>
        </is>
      </c>
      <c r="C12" s="5" t="inlineStr">
        <is>
          <t>Билік және басқару</t>
        </is>
      </c>
      <c r="D12" s="4" t="inlineStr">
        <is>
          <t>Тарихи сөз</t>
        </is>
      </c>
      <c r="E12" s="5" t="inlineStr">
        <is>
          <t>ел ісін шешетін үлкен жиын</t>
        </is>
      </c>
      <c r="F12" s="6" t="n"/>
      <c r="G12" s="6" t="n"/>
    </row>
    <row r="13">
      <c r="A13" s="4" t="n">
        <v>12</v>
      </c>
      <c r="B13" s="5" t="inlineStr">
        <is>
          <t>елші</t>
        </is>
      </c>
      <c r="C13" s="5" t="inlineStr">
        <is>
          <t>Билік және басқару</t>
        </is>
      </c>
      <c r="D13" s="4" t="inlineStr">
        <is>
          <t>Архаизм</t>
        </is>
      </c>
      <c r="E13" s="5" t="inlineStr">
        <is>
          <t>бір елден екінші елге жіберілген өкіл</t>
        </is>
      </c>
      <c r="F13" s="6" t="n"/>
      <c r="G13" s="6" t="n"/>
    </row>
    <row r="14">
      <c r="A14" s="4" t="n">
        <v>13</v>
      </c>
      <c r="B14" s="5" t="inlineStr">
        <is>
          <t>жарлық</t>
        </is>
      </c>
      <c r="C14" s="5" t="inlineStr">
        <is>
          <t>Қоғам, заң, құжат</t>
        </is>
      </c>
      <c r="D14" s="4" t="inlineStr">
        <is>
          <t>Архаизм</t>
        </is>
      </c>
      <c r="E14" s="5" t="inlineStr">
        <is>
          <t>билеушінің бұйрығы, шешімі</t>
        </is>
      </c>
      <c r="F14" s="6" t="n"/>
      <c r="G14" s="6" t="n"/>
    </row>
    <row r="15">
      <c r="A15" s="4" t="n">
        <v>14</v>
      </c>
      <c r="B15" s="5" t="inlineStr">
        <is>
          <t>мәжіліс</t>
        </is>
      </c>
      <c r="C15" s="5" t="inlineStr">
        <is>
          <t>Қоғам, заң, құжат</t>
        </is>
      </c>
      <c r="D15" s="4" t="inlineStr">
        <is>
          <t>Архаизм</t>
        </is>
      </c>
      <c r="E15" s="5" t="inlineStr">
        <is>
          <t>жиналыс, кеңес</t>
        </is>
      </c>
      <c r="F15" s="6" t="n"/>
      <c r="G15" s="6" t="n"/>
    </row>
    <row r="16">
      <c r="A16" s="4" t="n">
        <v>15</v>
      </c>
      <c r="B16" s="5" t="inlineStr">
        <is>
          <t>кеден</t>
        </is>
      </c>
      <c r="C16" s="5" t="inlineStr">
        <is>
          <t>Қоғам, заң, құжат</t>
        </is>
      </c>
      <c r="D16" s="4" t="inlineStr">
        <is>
          <t>Архаизм</t>
        </is>
      </c>
      <c r="E16" s="5" t="inlineStr">
        <is>
          <t>шекарада тауардан баж алатын орын</t>
        </is>
      </c>
      <c r="F16" s="6" t="n"/>
      <c r="G16" s="6" t="n"/>
    </row>
    <row r="17">
      <c r="A17" s="4" t="n">
        <v>16</v>
      </c>
      <c r="B17" s="5" t="inlineStr">
        <is>
          <t>ұлық</t>
        </is>
      </c>
      <c r="C17" s="5" t="inlineStr">
        <is>
          <t>Қоғам, заң, құжат</t>
        </is>
      </c>
      <c r="D17" s="4" t="inlineStr">
        <is>
          <t>Архаизм</t>
        </is>
      </c>
      <c r="E17" s="5" t="inlineStr">
        <is>
          <t>бастық, әкім, жоғары лауазымды адам</t>
        </is>
      </c>
      <c r="F17" s="6" t="n"/>
      <c r="G17" s="6" t="n"/>
    </row>
    <row r="18">
      <c r="A18" s="4" t="n">
        <v>17</v>
      </c>
      <c r="B18" s="5" t="inlineStr">
        <is>
          <t>пәрмен</t>
        </is>
      </c>
      <c r="C18" s="5" t="inlineStr">
        <is>
          <t>Қоғам, заң, құжат</t>
        </is>
      </c>
      <c r="D18" s="4" t="inlineStr">
        <is>
          <t>Архаизм</t>
        </is>
      </c>
      <c r="E18" s="5" t="inlineStr">
        <is>
          <t>бұйрық, үкім</t>
        </is>
      </c>
      <c r="F18" s="6" t="n"/>
      <c r="G18" s="6" t="n"/>
    </row>
    <row r="19">
      <c r="A19" s="4" t="n">
        <v>18</v>
      </c>
      <c r="B19" s="5" t="inlineStr">
        <is>
          <t>жәдігер</t>
        </is>
      </c>
      <c r="C19" s="5" t="inlineStr">
        <is>
          <t>Қоғам, заң, құжат</t>
        </is>
      </c>
      <c r="D19" s="4" t="inlineStr">
        <is>
          <t>Архаизм</t>
        </is>
      </c>
      <c r="E19" s="5" t="inlineStr">
        <is>
          <t>өткеннен қалған зат, ескерткіш</t>
        </is>
      </c>
      <c r="F19" s="6" t="n"/>
      <c r="G19" s="6" t="n"/>
    </row>
    <row r="20">
      <c r="A20" s="4" t="n">
        <v>19</v>
      </c>
      <c r="B20" s="5" t="inlineStr">
        <is>
          <t>теңге</t>
        </is>
      </c>
      <c r="C20" s="5" t="inlineStr">
        <is>
          <t>Өлшем және ақша</t>
        </is>
      </c>
      <c r="D20" s="4" t="inlineStr">
        <is>
          <t>Архаизм</t>
        </is>
      </c>
      <c r="E20" s="5" t="inlineStr">
        <is>
          <t>күміс ақша</t>
        </is>
      </c>
      <c r="F20" s="6" t="n"/>
      <c r="G20" s="6" t="n"/>
    </row>
    <row r="21">
      <c r="A21" s="4" t="n">
        <v>20</v>
      </c>
      <c r="B21" s="5" t="inlineStr">
        <is>
          <t>тиын</t>
        </is>
      </c>
      <c r="C21" s="5" t="inlineStr">
        <is>
          <t>Өлшем және ақша</t>
        </is>
      </c>
      <c r="D21" s="4" t="inlineStr">
        <is>
          <t>Архаизм</t>
        </is>
      </c>
      <c r="E21" s="5" t="inlineStr">
        <is>
          <t>ұсақ ақша</t>
        </is>
      </c>
      <c r="F21" s="6" t="n"/>
      <c r="G21" s="6" t="n"/>
    </row>
    <row r="22">
      <c r="A22" s="4" t="n">
        <v>21</v>
      </c>
      <c r="B22" s="5" t="inlineStr">
        <is>
          <t>пұт</t>
        </is>
      </c>
      <c r="C22" s="5" t="inlineStr">
        <is>
          <t>Өлшем және ақша</t>
        </is>
      </c>
      <c r="D22" s="4" t="inlineStr">
        <is>
          <t>Тарихи сөз</t>
        </is>
      </c>
      <c r="E22" s="5" t="inlineStr">
        <is>
          <t>16 килограмға жуық салмақ өлшемі</t>
        </is>
      </c>
      <c r="F22" s="6" t="n"/>
      <c r="G22" s="6" t="n"/>
    </row>
    <row r="23">
      <c r="A23" s="4" t="n">
        <v>22</v>
      </c>
      <c r="B23" s="5" t="inlineStr">
        <is>
          <t>батпан</t>
        </is>
      </c>
      <c r="C23" s="5" t="inlineStr">
        <is>
          <t>Өлшем және ақша</t>
        </is>
      </c>
      <c r="D23" s="4" t="inlineStr">
        <is>
          <t>Тарихи сөз</t>
        </is>
      </c>
      <c r="E23" s="5" t="inlineStr">
        <is>
          <t>ауыр салмақ өлшемі</t>
        </is>
      </c>
      <c r="F23" s="6" t="n"/>
      <c r="G23" s="6" t="n"/>
    </row>
    <row r="24">
      <c r="A24" s="4" t="n">
        <v>23</v>
      </c>
      <c r="B24" s="5" t="inlineStr">
        <is>
          <t>құлаш</t>
        </is>
      </c>
      <c r="C24" s="5" t="inlineStr">
        <is>
          <t>Өлшем және ақша</t>
        </is>
      </c>
      <c r="D24" s="4" t="inlineStr">
        <is>
          <t>Тарихи сөз</t>
        </is>
      </c>
      <c r="E24" s="5" t="inlineStr">
        <is>
          <t>екі қолды жайғандағы ұзындық өлшемі</t>
        </is>
      </c>
      <c r="F24" s="6" t="n"/>
      <c r="G24" s="6" t="n"/>
    </row>
    <row r="25">
      <c r="A25" s="4" t="n">
        <v>24</v>
      </c>
      <c r="B25" s="5" t="inlineStr">
        <is>
          <t>шақырым</t>
        </is>
      </c>
      <c r="C25" s="5" t="inlineStr">
        <is>
          <t>Өлшем және ақша</t>
        </is>
      </c>
      <c r="D25" s="4" t="inlineStr">
        <is>
          <t>Архаизм</t>
        </is>
      </c>
      <c r="E25" s="5" t="inlineStr">
        <is>
          <t>шамамен бір километрге тең қашықтық</t>
        </is>
      </c>
      <c r="F25" s="6" t="n"/>
      <c r="G25" s="6" t="n"/>
    </row>
    <row r="26">
      <c r="A26" s="4" t="n">
        <v>25</v>
      </c>
      <c r="B26" s="5" t="inlineStr">
        <is>
          <t>сәукеле</t>
        </is>
      </c>
      <c r="C26" s="5" t="inlineStr">
        <is>
          <t>Киім және тұрмыс</t>
        </is>
      </c>
      <c r="D26" s="4" t="inlineStr">
        <is>
          <t>Тарихи сөз</t>
        </is>
      </c>
      <c r="E26" s="5" t="inlineStr">
        <is>
          <t>қалыңдықтың биік, сәнді бас киімі</t>
        </is>
      </c>
      <c r="F26" s="6" t="n"/>
      <c r="G26" s="6" t="n"/>
    </row>
    <row r="27">
      <c r="A27" s="4" t="n">
        <v>26</v>
      </c>
      <c r="B27" s="5" t="inlineStr">
        <is>
          <t>кимешек</t>
        </is>
      </c>
      <c r="C27" s="5" t="inlineStr">
        <is>
          <t>Киім және тұрмыс</t>
        </is>
      </c>
      <c r="D27" s="4" t="inlineStr">
        <is>
          <t>Тарихи сөз</t>
        </is>
      </c>
      <c r="E27" s="5" t="inlineStr">
        <is>
          <t>үлкен кісі әйелдің ақ матадан тігілген бас киімі</t>
        </is>
      </c>
      <c r="F27" s="6" t="n"/>
      <c r="G27" s="6" t="n"/>
    </row>
    <row r="28">
      <c r="A28" s="4" t="n">
        <v>27</v>
      </c>
      <c r="B28" s="5" t="inlineStr">
        <is>
          <t>шекпен</t>
        </is>
      </c>
      <c r="C28" s="5" t="inlineStr">
        <is>
          <t>Киім және тұрмыс</t>
        </is>
      </c>
      <c r="D28" s="4" t="inlineStr">
        <is>
          <t>Тарихи сөз</t>
        </is>
      </c>
      <c r="E28" s="5" t="inlineStr">
        <is>
          <t>түйе жүнінен тоқылған сырт киім</t>
        </is>
      </c>
      <c r="F28" s="6" t="n"/>
      <c r="G28" s="6" t="n"/>
    </row>
    <row r="29">
      <c r="A29" s="4" t="n">
        <v>28</v>
      </c>
      <c r="B29" s="5" t="inlineStr">
        <is>
          <t>кебенек</t>
        </is>
      </c>
      <c r="C29" s="5" t="inlineStr">
        <is>
          <t>Киім және тұрмыс</t>
        </is>
      </c>
      <c r="D29" s="4" t="inlineStr">
        <is>
          <t>Тарихи сөз</t>
        </is>
      </c>
      <c r="E29" s="5" t="inlineStr">
        <is>
          <t>киізден тігілген, жаңбыр өткізбейтін шапан</t>
        </is>
      </c>
      <c r="F29" s="6" t="n"/>
      <c r="G29" s="6" t="n"/>
    </row>
    <row r="30">
      <c r="A30" s="4" t="n">
        <v>29</v>
      </c>
      <c r="B30" s="5" t="inlineStr">
        <is>
          <t>кебеже</t>
        </is>
      </c>
      <c r="C30" s="5" t="inlineStr">
        <is>
          <t>Киім және тұрмыс</t>
        </is>
      </c>
      <c r="D30" s="4" t="inlineStr">
        <is>
          <t>Тарихи сөз</t>
        </is>
      </c>
      <c r="E30" s="5" t="inlineStr">
        <is>
          <t>ыдыс-аяқ пен тамақ салатын ағаш сандық</t>
        </is>
      </c>
      <c r="F30" s="6" t="n"/>
      <c r="G30" s="6" t="n"/>
    </row>
    <row r="31">
      <c r="A31" s="4" t="n">
        <v>30</v>
      </c>
      <c r="B31" s="5" t="inlineStr">
        <is>
          <t>саба</t>
        </is>
      </c>
      <c r="C31" s="5" t="inlineStr">
        <is>
          <t>Киім және тұрмыс</t>
        </is>
      </c>
      <c r="D31" s="4" t="inlineStr">
        <is>
          <t>Тарихи сөз</t>
        </is>
      </c>
      <c r="E31" s="5" t="inlineStr">
        <is>
          <t>қымыз ашытатын теріден жасалған ыдыс</t>
        </is>
      </c>
      <c r="F31" s="6" t="n"/>
      <c r="G31" s="6" t="n"/>
    </row>
    <row r="32">
      <c r="A32" s="4" t="n">
        <v>31</v>
      </c>
      <c r="B32" s="5" t="inlineStr">
        <is>
          <t>ләшкер</t>
        </is>
      </c>
      <c r="C32" s="5" t="inlineStr">
        <is>
          <t>Баламасы бар көне сөздер</t>
        </is>
      </c>
      <c r="D32" s="4" t="inlineStr">
        <is>
          <t>Архаизм</t>
        </is>
      </c>
      <c r="E32" s="5" t="inlineStr">
        <is>
          <t>әскер</t>
        </is>
      </c>
      <c r="F32" s="6" t="n"/>
      <c r="G32" s="6" t="n"/>
    </row>
    <row r="33">
      <c r="A33" s="4" t="n">
        <v>32</v>
      </c>
      <c r="B33" s="5" t="inlineStr">
        <is>
          <t>тамұқ</t>
        </is>
      </c>
      <c r="C33" s="5" t="inlineStr">
        <is>
          <t>Баламасы бар көне сөздер</t>
        </is>
      </c>
      <c r="D33" s="4" t="inlineStr">
        <is>
          <t>Архаизм</t>
        </is>
      </c>
      <c r="E33" s="5" t="inlineStr">
        <is>
          <t>тозақ</t>
        </is>
      </c>
      <c r="F33" s="6" t="n"/>
      <c r="G33" s="6" t="n"/>
    </row>
    <row r="34">
      <c r="A34" s="4" t="n">
        <v>33</v>
      </c>
      <c r="B34" s="5" t="inlineStr">
        <is>
          <t>мейман</t>
        </is>
      </c>
      <c r="C34" s="5" t="inlineStr">
        <is>
          <t>Баламасы бар көне сөздер</t>
        </is>
      </c>
      <c r="D34" s="4" t="inlineStr">
        <is>
          <t>Архаизм</t>
        </is>
      </c>
      <c r="E34" s="5" t="inlineStr">
        <is>
          <t>қонақ</t>
        </is>
      </c>
      <c r="F34" s="6" t="n"/>
      <c r="G34" s="6" t="n"/>
    </row>
    <row r="35">
      <c r="A35" s="4" t="n">
        <v>34</v>
      </c>
      <c r="B35" s="5" t="inlineStr">
        <is>
          <t>ділмар</t>
        </is>
      </c>
      <c r="C35" s="5" t="inlineStr">
        <is>
          <t>Баламасы бар көне сөздер</t>
        </is>
      </c>
      <c r="D35" s="4" t="inlineStr">
        <is>
          <t>Архаизм</t>
        </is>
      </c>
      <c r="E35" s="5" t="inlineStr">
        <is>
          <t>сөзге шебер, шешен</t>
        </is>
      </c>
      <c r="F35" s="6" t="n"/>
      <c r="G35" s="6" t="n"/>
    </row>
    <row r="36">
      <c r="A36" s="4" t="n">
        <v>35</v>
      </c>
      <c r="B36" s="5" t="inlineStr">
        <is>
          <t>нөкер</t>
        </is>
      </c>
      <c r="C36" s="5" t="inlineStr">
        <is>
          <t>Баламасы бар көне сөздер</t>
        </is>
      </c>
      <c r="D36" s="4" t="inlineStr">
        <is>
          <t>Архаизм</t>
        </is>
      </c>
      <c r="E36" s="5" t="inlineStr">
        <is>
          <t>серік, қызметші</t>
        </is>
      </c>
      <c r="F36" s="6" t="n"/>
      <c r="G36" s="6" t="n"/>
    </row>
    <row r="37">
      <c r="A37" s="4" t="n">
        <v>36</v>
      </c>
      <c r="B37" s="5" t="inlineStr">
        <is>
          <t>тұлпар</t>
        </is>
      </c>
      <c r="C37" s="5" t="inlineStr">
        <is>
          <t>Баламасы бар көне сөздер</t>
        </is>
      </c>
      <c r="D37" s="4" t="inlineStr">
        <is>
          <t>Архаизм</t>
        </is>
      </c>
      <c r="E37" s="5" t="inlineStr">
        <is>
          <t>жүйрік ат</t>
        </is>
      </c>
      <c r="F37" s="6" t="n"/>
      <c r="G37" s="6" t="n"/>
    </row>
    <row r="38">
      <c r="B38" s="5" t="inlineStr">
        <is>
          <t>басқа</t>
        </is>
      </c>
    </row>
  </sheetData>
  <dataValidations count="1">
    <dataValidation sqref="F2 F3 F4 F5 F6 F7 F8 F9 F10 F11 F12 F13 F14 F15 F16 F17 F18 F19 F20 F21 F22 F23 F24 F25 F26 F27 F28 F29 F30 F31 F32 F33 F34 F35 F36 F37" showDropDown="0" showInputMessage="0" showErrorMessage="0" allowBlank="1" type="list">
      <formula1>"көн.,тар.,белгі жоқ,сөздікте жоқ"</formula1>
    </dataValidation>
  </dataValidations>
  <pageMargins left="0.75" right="0.75" top="1" bottom="1" header="0.5" footer="0.5"/>
  <pageSetup orientation="landscape" paperSize="9" fitToHeight="0" fitToWidth="1"/>
</worksheet>
</file>

<file path=xl/worksheets/sheet3.xml><?xml version="1.0" encoding="utf-8"?>
<worksheet xmlns="http://schemas.openxmlformats.org/spreadsheetml/2006/main">
  <sheetPr>
    <outlinePr summaryBelow="1" summaryRight="1"/>
    <pageSetUpPr fitToPage="1"/>
  </sheetPr>
  <dimension ref="A1:H61"/>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5" customWidth="1" min="1" max="1"/>
    <col width="26" customWidth="1" min="2" max="2"/>
    <col width="20" customWidth="1" min="3" max="3"/>
    <col width="34" customWidth="1" min="4" max="4"/>
    <col width="14" customWidth="1" min="5" max="5"/>
    <col width="16" customWidth="1" min="6" max="6"/>
    <col width="9" customWidth="1" min="7" max="7"/>
    <col width="12" customWidth="1" min="8" max="8"/>
  </cols>
  <sheetData>
    <row r="1" ht="45" customHeight="1">
      <c r="A1" s="3" t="inlineStr">
        <is>
          <t>№</t>
        </is>
      </c>
      <c r="B1" s="3" t="inlineStr">
        <is>
          <t>Орны (көше, аудан)</t>
        </is>
      </c>
      <c r="C1" s="3" t="inlineStr">
        <is>
          <t>Нысан түрі</t>
        </is>
      </c>
      <c r="D1" s="3" t="inlineStr">
        <is>
          <t>Жазуы (толық)</t>
        </is>
      </c>
      <c r="E1" s="3" t="inlineStr">
        <is>
          <t>Көне сөз</t>
        </is>
      </c>
      <c r="F1" s="3" t="inlineStr">
        <is>
          <t>Басқа көне сөз</t>
        </is>
      </c>
      <c r="G1" s="3" t="inlineStr">
        <is>
          <t>Фото №</t>
        </is>
      </c>
      <c r="H1" s="3" t="inlineStr">
        <is>
          <t>Күні</t>
        </is>
      </c>
    </row>
    <row r="2">
      <c r="A2" s="4" t="n">
        <v>1</v>
      </c>
      <c r="B2" s="7" t="n"/>
      <c r="C2" s="7" t="n"/>
      <c r="D2" s="7" t="n"/>
      <c r="E2" s="7" t="n"/>
      <c r="F2" s="7" t="n"/>
      <c r="G2" s="6" t="n"/>
      <c r="H2" s="6" t="n"/>
    </row>
    <row r="3">
      <c r="A3" s="4" t="n">
        <v>2</v>
      </c>
      <c r="B3" s="7" t="n"/>
      <c r="C3" s="7" t="n"/>
      <c r="D3" s="7" t="n"/>
      <c r="E3" s="7" t="n"/>
      <c r="F3" s="7" t="n"/>
      <c r="G3" s="6" t="n"/>
      <c r="H3" s="6" t="n"/>
    </row>
    <row r="4">
      <c r="A4" s="4" t="n">
        <v>3</v>
      </c>
      <c r="B4" s="7" t="n"/>
      <c r="C4" s="7" t="n"/>
      <c r="D4" s="7" t="n"/>
      <c r="E4" s="7" t="n"/>
      <c r="F4" s="7" t="n"/>
      <c r="G4" s="6" t="n"/>
      <c r="H4" s="6" t="n"/>
    </row>
    <row r="5">
      <c r="A5" s="4" t="n">
        <v>4</v>
      </c>
      <c r="B5" s="7" t="n"/>
      <c r="C5" s="7" t="n"/>
      <c r="D5" s="7" t="n"/>
      <c r="E5" s="7" t="n"/>
      <c r="F5" s="7" t="n"/>
      <c r="G5" s="6" t="n"/>
      <c r="H5" s="6" t="n"/>
    </row>
    <row r="6">
      <c r="A6" s="4" t="n">
        <v>5</v>
      </c>
      <c r="B6" s="7" t="n"/>
      <c r="C6" s="7" t="n"/>
      <c r="D6" s="7" t="n"/>
      <c r="E6" s="7" t="n"/>
      <c r="F6" s="7" t="n"/>
      <c r="G6" s="6" t="n"/>
      <c r="H6" s="6" t="n"/>
    </row>
    <row r="7">
      <c r="A7" s="4" t="n">
        <v>6</v>
      </c>
      <c r="B7" s="7" t="n"/>
      <c r="C7" s="7" t="n"/>
      <c r="D7" s="7" t="n"/>
      <c r="E7" s="7" t="n"/>
      <c r="F7" s="7" t="n"/>
      <c r="G7" s="6" t="n"/>
      <c r="H7" s="6" t="n"/>
    </row>
    <row r="8">
      <c r="A8" s="4" t="n">
        <v>7</v>
      </c>
      <c r="B8" s="7" t="n"/>
      <c r="C8" s="7" t="n"/>
      <c r="D8" s="7" t="n"/>
      <c r="E8" s="7" t="n"/>
      <c r="F8" s="7" t="n"/>
      <c r="G8" s="6" t="n"/>
      <c r="H8" s="6" t="n"/>
    </row>
    <row r="9">
      <c r="A9" s="4" t="n">
        <v>8</v>
      </c>
      <c r="B9" s="7" t="n"/>
      <c r="C9" s="7" t="n"/>
      <c r="D9" s="7" t="n"/>
      <c r="E9" s="7" t="n"/>
      <c r="F9" s="7" t="n"/>
      <c r="G9" s="6" t="n"/>
      <c r="H9" s="6" t="n"/>
    </row>
    <row r="10">
      <c r="A10" s="4" t="n">
        <v>9</v>
      </c>
      <c r="B10" s="7" t="n"/>
      <c r="C10" s="7" t="n"/>
      <c r="D10" s="7" t="n"/>
      <c r="E10" s="7" t="n"/>
      <c r="F10" s="7" t="n"/>
      <c r="G10" s="6" t="n"/>
      <c r="H10" s="6" t="n"/>
    </row>
    <row r="11">
      <c r="A11" s="4" t="n">
        <v>10</v>
      </c>
      <c r="B11" s="7" t="n"/>
      <c r="C11" s="7" t="n"/>
      <c r="D11" s="7" t="n"/>
      <c r="E11" s="7" t="n"/>
      <c r="F11" s="7" t="n"/>
      <c r="G11" s="6" t="n"/>
      <c r="H11" s="6" t="n"/>
    </row>
    <row r="12">
      <c r="A12" s="4" t="n">
        <v>11</v>
      </c>
      <c r="B12" s="7" t="n"/>
      <c r="C12" s="7" t="n"/>
      <c r="D12" s="7" t="n"/>
      <c r="E12" s="7" t="n"/>
      <c r="F12" s="7" t="n"/>
      <c r="G12" s="6" t="n"/>
      <c r="H12" s="6" t="n"/>
    </row>
    <row r="13">
      <c r="A13" s="4" t="n">
        <v>12</v>
      </c>
      <c r="B13" s="7" t="n"/>
      <c r="C13" s="7" t="n"/>
      <c r="D13" s="7" t="n"/>
      <c r="E13" s="7" t="n"/>
      <c r="F13" s="7" t="n"/>
      <c r="G13" s="6" t="n"/>
      <c r="H13" s="6" t="n"/>
    </row>
    <row r="14">
      <c r="A14" s="4" t="n">
        <v>13</v>
      </c>
      <c r="B14" s="7" t="n"/>
      <c r="C14" s="7" t="n"/>
      <c r="D14" s="7" t="n"/>
      <c r="E14" s="7" t="n"/>
      <c r="F14" s="7" t="n"/>
      <c r="G14" s="6" t="n"/>
      <c r="H14" s="6" t="n"/>
    </row>
    <row r="15">
      <c r="A15" s="4" t="n">
        <v>14</v>
      </c>
      <c r="B15" s="7" t="n"/>
      <c r="C15" s="7" t="n"/>
      <c r="D15" s="7" t="n"/>
      <c r="E15" s="7" t="n"/>
      <c r="F15" s="7" t="n"/>
      <c r="G15" s="6" t="n"/>
      <c r="H15" s="6" t="n"/>
    </row>
    <row r="16">
      <c r="A16" s="4" t="n">
        <v>15</v>
      </c>
      <c r="B16" s="7" t="n"/>
      <c r="C16" s="7" t="n"/>
      <c r="D16" s="7" t="n"/>
      <c r="E16" s="7" t="n"/>
      <c r="F16" s="7" t="n"/>
      <c r="G16" s="6" t="n"/>
      <c r="H16" s="6" t="n"/>
    </row>
    <row r="17">
      <c r="A17" s="4" t="n">
        <v>16</v>
      </c>
      <c r="B17" s="7" t="n"/>
      <c r="C17" s="7" t="n"/>
      <c r="D17" s="7" t="n"/>
      <c r="E17" s="7" t="n"/>
      <c r="F17" s="7" t="n"/>
      <c r="G17" s="6" t="n"/>
      <c r="H17" s="6" t="n"/>
    </row>
    <row r="18">
      <c r="A18" s="4" t="n">
        <v>17</v>
      </c>
      <c r="B18" s="7" t="n"/>
      <c r="C18" s="7" t="n"/>
      <c r="D18" s="7" t="n"/>
      <c r="E18" s="7" t="n"/>
      <c r="F18" s="7" t="n"/>
      <c r="G18" s="6" t="n"/>
      <c r="H18" s="6" t="n"/>
    </row>
    <row r="19">
      <c r="A19" s="4" t="n">
        <v>18</v>
      </c>
      <c r="B19" s="7" t="n"/>
      <c r="C19" s="7" t="n"/>
      <c r="D19" s="7" t="n"/>
      <c r="E19" s="7" t="n"/>
      <c r="F19" s="7" t="n"/>
      <c r="G19" s="6" t="n"/>
      <c r="H19" s="6" t="n"/>
    </row>
    <row r="20">
      <c r="A20" s="4" t="n">
        <v>19</v>
      </c>
      <c r="B20" s="7" t="n"/>
      <c r="C20" s="7" t="n"/>
      <c r="D20" s="7" t="n"/>
      <c r="E20" s="7" t="n"/>
      <c r="F20" s="7" t="n"/>
      <c r="G20" s="6" t="n"/>
      <c r="H20" s="6" t="n"/>
    </row>
    <row r="21">
      <c r="A21" s="4" t="n">
        <v>20</v>
      </c>
      <c r="B21" s="7" t="n"/>
      <c r="C21" s="7" t="n"/>
      <c r="D21" s="7" t="n"/>
      <c r="E21" s="7" t="n"/>
      <c r="F21" s="7" t="n"/>
      <c r="G21" s="6" t="n"/>
      <c r="H21" s="6" t="n"/>
    </row>
    <row r="22">
      <c r="A22" s="4" t="n">
        <v>21</v>
      </c>
      <c r="B22" s="7" t="n"/>
      <c r="C22" s="7" t="n"/>
      <c r="D22" s="7" t="n"/>
      <c r="E22" s="7" t="n"/>
      <c r="F22" s="7" t="n"/>
      <c r="G22" s="6" t="n"/>
      <c r="H22" s="6" t="n"/>
    </row>
    <row r="23">
      <c r="A23" s="4" t="n">
        <v>22</v>
      </c>
      <c r="B23" s="7" t="n"/>
      <c r="C23" s="7" t="n"/>
      <c r="D23" s="7" t="n"/>
      <c r="E23" s="7" t="n"/>
      <c r="F23" s="7" t="n"/>
      <c r="G23" s="6" t="n"/>
      <c r="H23" s="6" t="n"/>
    </row>
    <row r="24">
      <c r="A24" s="4" t="n">
        <v>23</v>
      </c>
      <c r="B24" s="7" t="n"/>
      <c r="C24" s="7" t="n"/>
      <c r="D24" s="7" t="n"/>
      <c r="E24" s="7" t="n"/>
      <c r="F24" s="7" t="n"/>
      <c r="G24" s="6" t="n"/>
      <c r="H24" s="6" t="n"/>
    </row>
    <row r="25">
      <c r="A25" s="4" t="n">
        <v>24</v>
      </c>
      <c r="B25" s="7" t="n"/>
      <c r="C25" s="7" t="n"/>
      <c r="D25" s="7" t="n"/>
      <c r="E25" s="7" t="n"/>
      <c r="F25" s="7" t="n"/>
      <c r="G25" s="6" t="n"/>
      <c r="H25" s="6" t="n"/>
    </row>
    <row r="26">
      <c r="A26" s="4" t="n">
        <v>25</v>
      </c>
      <c r="B26" s="7" t="n"/>
      <c r="C26" s="7" t="n"/>
      <c r="D26" s="7" t="n"/>
      <c r="E26" s="7" t="n"/>
      <c r="F26" s="7" t="n"/>
      <c r="G26" s="6" t="n"/>
      <c r="H26" s="6" t="n"/>
    </row>
    <row r="27">
      <c r="A27" s="4" t="n">
        <v>26</v>
      </c>
      <c r="B27" s="7" t="n"/>
      <c r="C27" s="7" t="n"/>
      <c r="D27" s="7" t="n"/>
      <c r="E27" s="7" t="n"/>
      <c r="F27" s="7" t="n"/>
      <c r="G27" s="6" t="n"/>
      <c r="H27" s="6" t="n"/>
    </row>
    <row r="28">
      <c r="A28" s="4" t="n">
        <v>27</v>
      </c>
      <c r="B28" s="7" t="n"/>
      <c r="C28" s="7" t="n"/>
      <c r="D28" s="7" t="n"/>
      <c r="E28" s="7" t="n"/>
      <c r="F28" s="7" t="n"/>
      <c r="G28" s="6" t="n"/>
      <c r="H28" s="6" t="n"/>
    </row>
    <row r="29">
      <c r="A29" s="4" t="n">
        <v>28</v>
      </c>
      <c r="B29" s="7" t="n"/>
      <c r="C29" s="7" t="n"/>
      <c r="D29" s="7" t="n"/>
      <c r="E29" s="7" t="n"/>
      <c r="F29" s="7" t="n"/>
      <c r="G29" s="6" t="n"/>
      <c r="H29" s="6" t="n"/>
    </row>
    <row r="30">
      <c r="A30" s="4" t="n">
        <v>29</v>
      </c>
      <c r="B30" s="7" t="n"/>
      <c r="C30" s="7" t="n"/>
      <c r="D30" s="7" t="n"/>
      <c r="E30" s="7" t="n"/>
      <c r="F30" s="7" t="n"/>
      <c r="G30" s="6" t="n"/>
      <c r="H30" s="6" t="n"/>
    </row>
    <row r="31">
      <c r="A31" s="4" t="n">
        <v>30</v>
      </c>
      <c r="B31" s="7" t="n"/>
      <c r="C31" s="7" t="n"/>
      <c r="D31" s="7" t="n"/>
      <c r="E31" s="7" t="n"/>
      <c r="F31" s="7" t="n"/>
      <c r="G31" s="6" t="n"/>
      <c r="H31" s="6" t="n"/>
    </row>
    <row r="32">
      <c r="A32" s="4" t="n">
        <v>31</v>
      </c>
      <c r="B32" s="7" t="n"/>
      <c r="C32" s="7" t="n"/>
      <c r="D32" s="7" t="n"/>
      <c r="E32" s="7" t="n"/>
      <c r="F32" s="7" t="n"/>
      <c r="G32" s="6" t="n"/>
      <c r="H32" s="6" t="n"/>
    </row>
    <row r="33">
      <c r="A33" s="4" t="n">
        <v>32</v>
      </c>
      <c r="B33" s="7" t="n"/>
      <c r="C33" s="7" t="n"/>
      <c r="D33" s="7" t="n"/>
      <c r="E33" s="7" t="n"/>
      <c r="F33" s="7" t="n"/>
      <c r="G33" s="6" t="n"/>
      <c r="H33" s="6" t="n"/>
    </row>
    <row r="34">
      <c r="A34" s="4" t="n">
        <v>33</v>
      </c>
      <c r="B34" s="7" t="n"/>
      <c r="C34" s="7" t="n"/>
      <c r="D34" s="7" t="n"/>
      <c r="E34" s="7" t="n"/>
      <c r="F34" s="7" t="n"/>
      <c r="G34" s="6" t="n"/>
      <c r="H34" s="6" t="n"/>
    </row>
    <row r="35">
      <c r="A35" s="4" t="n">
        <v>34</v>
      </c>
      <c r="B35" s="7" t="n"/>
      <c r="C35" s="7" t="n"/>
      <c r="D35" s="7" t="n"/>
      <c r="E35" s="7" t="n"/>
      <c r="F35" s="7" t="n"/>
      <c r="G35" s="6" t="n"/>
      <c r="H35" s="6" t="n"/>
    </row>
    <row r="36">
      <c r="A36" s="4" t="n">
        <v>35</v>
      </c>
      <c r="B36" s="7" t="n"/>
      <c r="C36" s="7" t="n"/>
      <c r="D36" s="7" t="n"/>
      <c r="E36" s="7" t="n"/>
      <c r="F36" s="7" t="n"/>
      <c r="G36" s="6" t="n"/>
      <c r="H36" s="6" t="n"/>
    </row>
    <row r="37">
      <c r="A37" s="4" t="n">
        <v>36</v>
      </c>
      <c r="B37" s="7" t="n"/>
      <c r="C37" s="7" t="n"/>
      <c r="D37" s="7" t="n"/>
      <c r="E37" s="7" t="n"/>
      <c r="F37" s="7" t="n"/>
      <c r="G37" s="6" t="n"/>
      <c r="H37" s="6" t="n"/>
    </row>
    <row r="38">
      <c r="A38" s="4" t="n">
        <v>37</v>
      </c>
      <c r="B38" s="7" t="n"/>
      <c r="C38" s="7" t="n"/>
      <c r="D38" s="7" t="n"/>
      <c r="E38" s="7" t="n"/>
      <c r="F38" s="7" t="n"/>
      <c r="G38" s="6" t="n"/>
      <c r="H38" s="6" t="n"/>
    </row>
    <row r="39">
      <c r="A39" s="4" t="n">
        <v>38</v>
      </c>
      <c r="B39" s="7" t="n"/>
      <c r="C39" s="7" t="n"/>
      <c r="D39" s="7" t="n"/>
      <c r="E39" s="7" t="n"/>
      <c r="F39" s="7" t="n"/>
      <c r="G39" s="6" t="n"/>
      <c r="H39" s="6" t="n"/>
    </row>
    <row r="40">
      <c r="A40" s="4" t="n">
        <v>39</v>
      </c>
      <c r="B40" s="7" t="n"/>
      <c r="C40" s="7" t="n"/>
      <c r="D40" s="7" t="n"/>
      <c r="E40" s="7" t="n"/>
      <c r="F40" s="7" t="n"/>
      <c r="G40" s="6" t="n"/>
      <c r="H40" s="6" t="n"/>
    </row>
    <row r="41">
      <c r="A41" s="4" t="n">
        <v>40</v>
      </c>
      <c r="B41" s="7" t="n"/>
      <c r="C41" s="7" t="n"/>
      <c r="D41" s="7" t="n"/>
      <c r="E41" s="7" t="n"/>
      <c r="F41" s="7" t="n"/>
      <c r="G41" s="6" t="n"/>
      <c r="H41" s="6" t="n"/>
    </row>
    <row r="42">
      <c r="A42" s="4" t="n">
        <v>41</v>
      </c>
      <c r="B42" s="7" t="n"/>
      <c r="C42" s="7" t="n"/>
      <c r="D42" s="7" t="n"/>
      <c r="E42" s="7" t="n"/>
      <c r="F42" s="7" t="n"/>
      <c r="G42" s="6" t="n"/>
      <c r="H42" s="6" t="n"/>
    </row>
    <row r="43">
      <c r="A43" s="4" t="n">
        <v>42</v>
      </c>
      <c r="B43" s="7" t="n"/>
      <c r="C43" s="7" t="n"/>
      <c r="D43" s="7" t="n"/>
      <c r="E43" s="7" t="n"/>
      <c r="F43" s="7" t="n"/>
      <c r="G43" s="6" t="n"/>
      <c r="H43" s="6" t="n"/>
    </row>
    <row r="44">
      <c r="A44" s="4" t="n">
        <v>43</v>
      </c>
      <c r="B44" s="7" t="n"/>
      <c r="C44" s="7" t="n"/>
      <c r="D44" s="7" t="n"/>
      <c r="E44" s="7" t="n"/>
      <c r="F44" s="7" t="n"/>
      <c r="G44" s="6" t="n"/>
      <c r="H44" s="6" t="n"/>
    </row>
    <row r="45">
      <c r="A45" s="4" t="n">
        <v>44</v>
      </c>
      <c r="B45" s="7" t="n"/>
      <c r="C45" s="7" t="n"/>
      <c r="D45" s="7" t="n"/>
      <c r="E45" s="7" t="n"/>
      <c r="F45" s="7" t="n"/>
      <c r="G45" s="6" t="n"/>
      <c r="H45" s="6" t="n"/>
    </row>
    <row r="46">
      <c r="A46" s="4" t="n">
        <v>45</v>
      </c>
      <c r="B46" s="7" t="n"/>
      <c r="C46" s="7" t="n"/>
      <c r="D46" s="7" t="n"/>
      <c r="E46" s="7" t="n"/>
      <c r="F46" s="7" t="n"/>
      <c r="G46" s="6" t="n"/>
      <c r="H46" s="6" t="n"/>
    </row>
    <row r="47">
      <c r="A47" s="4" t="n">
        <v>46</v>
      </c>
      <c r="B47" s="7" t="n"/>
      <c r="C47" s="7" t="n"/>
      <c r="D47" s="7" t="n"/>
      <c r="E47" s="7" t="n"/>
      <c r="F47" s="7" t="n"/>
      <c r="G47" s="6" t="n"/>
      <c r="H47" s="6" t="n"/>
    </row>
    <row r="48">
      <c r="A48" s="4" t="n">
        <v>47</v>
      </c>
      <c r="B48" s="7" t="n"/>
      <c r="C48" s="7" t="n"/>
      <c r="D48" s="7" t="n"/>
      <c r="E48" s="7" t="n"/>
      <c r="F48" s="7" t="n"/>
      <c r="G48" s="6" t="n"/>
      <c r="H48" s="6" t="n"/>
    </row>
    <row r="49">
      <c r="A49" s="4" t="n">
        <v>48</v>
      </c>
      <c r="B49" s="7" t="n"/>
      <c r="C49" s="7" t="n"/>
      <c r="D49" s="7" t="n"/>
      <c r="E49" s="7" t="n"/>
      <c r="F49" s="7" t="n"/>
      <c r="G49" s="6" t="n"/>
      <c r="H49" s="6" t="n"/>
    </row>
    <row r="50">
      <c r="A50" s="4" t="n">
        <v>49</v>
      </c>
      <c r="B50" s="7" t="n"/>
      <c r="C50" s="7" t="n"/>
      <c r="D50" s="7" t="n"/>
      <c r="E50" s="7" t="n"/>
      <c r="F50" s="7" t="n"/>
      <c r="G50" s="6" t="n"/>
      <c r="H50" s="6" t="n"/>
    </row>
    <row r="51">
      <c r="A51" s="4" t="n">
        <v>50</v>
      </c>
      <c r="B51" s="7" t="n"/>
      <c r="C51" s="7" t="n"/>
      <c r="D51" s="7" t="n"/>
      <c r="E51" s="7" t="n"/>
      <c r="F51" s="7" t="n"/>
      <c r="G51" s="6" t="n"/>
      <c r="H51" s="6" t="n"/>
    </row>
    <row r="52">
      <c r="A52" s="4" t="n">
        <v>51</v>
      </c>
      <c r="B52" s="7" t="n"/>
      <c r="C52" s="7" t="n"/>
      <c r="D52" s="7" t="n"/>
      <c r="E52" s="7" t="n"/>
      <c r="F52" s="7" t="n"/>
      <c r="G52" s="6" t="n"/>
      <c r="H52" s="6" t="n"/>
    </row>
    <row r="53">
      <c r="A53" s="4" t="n">
        <v>52</v>
      </c>
      <c r="B53" s="7" t="n"/>
      <c r="C53" s="7" t="n"/>
      <c r="D53" s="7" t="n"/>
      <c r="E53" s="7" t="n"/>
      <c r="F53" s="7" t="n"/>
      <c r="G53" s="6" t="n"/>
      <c r="H53" s="6" t="n"/>
    </row>
    <row r="54">
      <c r="A54" s="4" t="n">
        <v>53</v>
      </c>
      <c r="B54" s="7" t="n"/>
      <c r="C54" s="7" t="n"/>
      <c r="D54" s="7" t="n"/>
      <c r="E54" s="7" t="n"/>
      <c r="F54" s="7" t="n"/>
      <c r="G54" s="6" t="n"/>
      <c r="H54" s="6" t="n"/>
    </row>
    <row r="55">
      <c r="A55" s="4" t="n">
        <v>54</v>
      </c>
      <c r="B55" s="7" t="n"/>
      <c r="C55" s="7" t="n"/>
      <c r="D55" s="7" t="n"/>
      <c r="E55" s="7" t="n"/>
      <c r="F55" s="7" t="n"/>
      <c r="G55" s="6" t="n"/>
      <c r="H55" s="6" t="n"/>
    </row>
    <row r="56">
      <c r="A56" s="4" t="n">
        <v>55</v>
      </c>
      <c r="B56" s="7" t="n"/>
      <c r="C56" s="7" t="n"/>
      <c r="D56" s="7" t="n"/>
      <c r="E56" s="7" t="n"/>
      <c r="F56" s="7" t="n"/>
      <c r="G56" s="6" t="n"/>
      <c r="H56" s="6" t="n"/>
    </row>
    <row r="57">
      <c r="A57" s="4" t="n">
        <v>56</v>
      </c>
      <c r="B57" s="7" t="n"/>
      <c r="C57" s="7" t="n"/>
      <c r="D57" s="7" t="n"/>
      <c r="E57" s="7" t="n"/>
      <c r="F57" s="7" t="n"/>
      <c r="G57" s="6" t="n"/>
      <c r="H57" s="6" t="n"/>
    </row>
    <row r="58">
      <c r="A58" s="4" t="n">
        <v>57</v>
      </c>
      <c r="B58" s="7" t="n"/>
      <c r="C58" s="7" t="n"/>
      <c r="D58" s="7" t="n"/>
      <c r="E58" s="7" t="n"/>
      <c r="F58" s="7" t="n"/>
      <c r="G58" s="6" t="n"/>
      <c r="H58" s="6" t="n"/>
    </row>
    <row r="59">
      <c r="A59" s="4" t="n">
        <v>58</v>
      </c>
      <c r="B59" s="7" t="n"/>
      <c r="C59" s="7" t="n"/>
      <c r="D59" s="7" t="n"/>
      <c r="E59" s="7" t="n"/>
      <c r="F59" s="7" t="n"/>
      <c r="G59" s="6" t="n"/>
      <c r="H59" s="6" t="n"/>
    </row>
    <row r="60">
      <c r="A60" s="4" t="n">
        <v>59</v>
      </c>
      <c r="B60" s="7" t="n"/>
      <c r="C60" s="7" t="n"/>
      <c r="D60" s="7" t="n"/>
      <c r="E60" s="7" t="n"/>
      <c r="F60" s="7" t="n"/>
      <c r="G60" s="6" t="n"/>
      <c r="H60" s="6" t="n"/>
    </row>
    <row r="61">
      <c r="A61" s="4" t="n">
        <v>60</v>
      </c>
      <c r="B61" s="7" t="n"/>
      <c r="C61" s="7" t="n"/>
      <c r="D61" s="7" t="n"/>
      <c r="E61" s="7" t="n"/>
      <c r="F61" s="7" t="n"/>
      <c r="G61" s="6" t="n"/>
      <c r="H61" s="6" t="n"/>
    </row>
  </sheetData>
  <dataValidations count="2">
    <dataValidation sqref="C2 C3 C4 C5 C6 C7 C8 C9 C10 C11 C12 C13 C14 C15 C16 C17 C18 C19 C20 C21 C22 C23 C24 C25 C26 C27 C28 C29 C30 C31 C32 C33 C34 C35 C36 C37 C38 C39 C40 C41 C42 C43 C44 C45 C46 C47 C48 C49 C50 C51 C52 C53 C54 C55 C56 C57 C58 C59 C60 C61" showDropDown="0" showInputMessage="0" showErrorMessage="0" allowBlank="1" type="list">
      <formula1>"Дүкен, сауда орны,Кафе, мейрамхана,Мекеме, ұйым,Көше, аялдама,Жарнама, баннер,Басқа"</formula1>
    </dataValidation>
    <dataValidation sqref="E2 E3 E4 E5 E6 E7 E8 E9 E10 E11 E12 E13 E14 E15 E16 E17 E18 E19 E20 E21 E22 E23 E24 E25 E26 E27 E28 E29 E30 E31 E32 E33 E34 E35 E36 E37 E38 E39 E40 E41 E42 E43 E44 E45 E46 E47 E48 E49 E50 E51 E52 E53 E54 E55 E56 E57 E58 E59 E60 E61" showDropDown="0" showInputMessage="0" showErrorMessage="0" allowBlank="1" type="list">
      <formula1>=Сөздер!$B$2:$B$38</formula1>
    </dataValidation>
  </dataValidations>
  <pageMargins left="0.75" right="0.75" top="1" bottom="1" header="0.5" footer="0.5"/>
  <pageSetup orientation="landscape" paperSize="9" fitToHeight="0" fitToWidth="1"/>
</worksheet>
</file>

<file path=xl/worksheets/sheet4.xml><?xml version="1.0" encoding="utf-8"?>
<worksheet xmlns="http://schemas.openxmlformats.org/spreadsheetml/2006/main">
  <sheetPr>
    <outlinePr summaryBelow="1" summaryRight="1"/>
    <pageSetUpPr fitToPage="1"/>
  </sheetPr>
  <dimension ref="A1:K37"/>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12" customWidth="1" min="3" max="3"/>
    <col width="12" customWidth="1" min="4" max="4"/>
    <col width="12" customWidth="1" min="5" max="5"/>
    <col width="12" customWidth="1" min="6" max="6"/>
    <col width="50" customWidth="1" min="7" max="7"/>
    <col width="28" customWidth="1" min="8" max="8"/>
    <col width="12" customWidth="1" min="9" max="9"/>
    <col width="10" customWidth="1" min="10" max="10"/>
    <col width="10" customWidth="1" min="11" max="11"/>
  </cols>
  <sheetData>
    <row r="1" ht="45" customHeight="1">
      <c r="A1" s="3" t="inlineStr">
        <is>
          <t>№</t>
        </is>
      </c>
      <c r="B1" s="3" t="inlineStr">
        <is>
          <t>Сөз</t>
        </is>
      </c>
      <c r="C1" s="3" t="inlineStr">
        <is>
          <t>egemen.kz: нәтиже саны</t>
        </is>
      </c>
      <c r="D1" s="3" t="inlineStr">
        <is>
          <t>egemen.kz: мәнмәтін (код)</t>
        </is>
      </c>
      <c r="E1" s="3" t="inlineStr">
        <is>
          <t>kaz.tengrinews.kz: нәтиже саны</t>
        </is>
      </c>
      <c r="F1" s="3" t="inlineStr">
        <is>
          <t>kaz.tengrinews.kz: мәнмәтін (код)</t>
        </is>
      </c>
      <c r="G1" s="3" t="inlineStr">
        <is>
          <t>Ең жаңа мысал (сөйлем)</t>
        </is>
      </c>
      <c r="H1" s="3" t="inlineStr">
        <is>
          <t>Сілтеме</t>
        </is>
      </c>
      <c r="I1" s="3" t="inlineStr">
        <is>
          <t>Тексерген күні</t>
        </is>
      </c>
      <c r="J1" s="3" t="inlineStr">
        <is>
          <t>Көшеде (саны)</t>
        </is>
      </c>
      <c r="K1" s="3" t="inlineStr">
        <is>
          <t>Мәртебе</t>
        </is>
      </c>
    </row>
    <row r="2">
      <c r="A2" s="4" t="n">
        <v>1</v>
      </c>
      <c r="B2" s="5" t="inlineStr">
        <is>
          <t>сауыт</t>
        </is>
      </c>
      <c r="C2" s="6" t="n"/>
      <c r="D2" s="6" t="n"/>
      <c r="E2" s="6" t="n"/>
      <c r="F2" s="6" t="n"/>
      <c r="G2" s="7" t="n"/>
      <c r="H2" s="7" t="n"/>
      <c r="I2" s="6" t="n"/>
      <c r="J2" s="4">
        <f>COUNTIF(Серуен!$E$2:$E$61,B2)</f>
        <v/>
      </c>
      <c r="K2" s="8">
        <f>IF(COUNT(C2,E2)=0,"",IF(AND(N(C2)+N(E2)&lt;5,J2=0),"Ұ",IF(OR(D2="Ж",F2="Ж"),"Ж",IF(OR(D2="А",F2="А",J2&gt;0),"А","Т"))))</f>
        <v/>
      </c>
    </row>
    <row r="3">
      <c r="A3" s="4" t="n">
        <v>2</v>
      </c>
      <c r="B3" s="5" t="inlineStr">
        <is>
          <t>дулыға</t>
        </is>
      </c>
      <c r="C3" s="6" t="n"/>
      <c r="D3" s="6" t="n"/>
      <c r="E3" s="6" t="n"/>
      <c r="F3" s="6" t="n"/>
      <c r="G3" s="7" t="n"/>
      <c r="H3" s="7" t="n"/>
      <c r="I3" s="6" t="n"/>
      <c r="J3" s="4">
        <f>COUNTIF(Серуен!$E$2:$E$61,B3)</f>
        <v/>
      </c>
      <c r="K3" s="8">
        <f>IF(COUNT(C3,E3)=0,"",IF(AND(N(C3)+N(E3)&lt;5,J3=0),"Ұ",IF(OR(D3="Ж",F3="Ж"),"Ж",IF(OR(D3="А",F3="А",J3&gt;0),"А","Т"))))</f>
        <v/>
      </c>
    </row>
    <row r="4">
      <c r="A4" s="4" t="n">
        <v>3</v>
      </c>
      <c r="B4" s="5" t="inlineStr">
        <is>
          <t>садақ</t>
        </is>
      </c>
      <c r="C4" s="6" t="n"/>
      <c r="D4" s="6" t="n"/>
      <c r="E4" s="6" t="n"/>
      <c r="F4" s="6" t="n"/>
      <c r="G4" s="7" t="n"/>
      <c r="H4" s="7" t="n"/>
      <c r="I4" s="6" t="n"/>
      <c r="J4" s="4">
        <f>COUNTIF(Серуен!$E$2:$E$61,B4)</f>
        <v/>
      </c>
      <c r="K4" s="8">
        <f>IF(COUNT(C4,E4)=0,"",IF(AND(N(C4)+N(E4)&lt;5,J4=0),"Ұ",IF(OR(D4="Ж",F4="Ж"),"Ж",IF(OR(D4="А",F4="А",J4&gt;0),"А","Т"))))</f>
        <v/>
      </c>
    </row>
    <row r="5">
      <c r="A5" s="4" t="n">
        <v>4</v>
      </c>
      <c r="B5" s="5" t="inlineStr">
        <is>
          <t>қорамсақ</t>
        </is>
      </c>
      <c r="C5" s="6" t="n"/>
      <c r="D5" s="6" t="n"/>
      <c r="E5" s="6" t="n"/>
      <c r="F5" s="6" t="n"/>
      <c r="G5" s="7" t="n"/>
      <c r="H5" s="7" t="n"/>
      <c r="I5" s="6" t="n"/>
      <c r="J5" s="4">
        <f>COUNTIF(Серуен!$E$2:$E$61,B5)</f>
        <v/>
      </c>
      <c r="K5" s="8">
        <f>IF(COUNT(C5,E5)=0,"",IF(AND(N(C5)+N(E5)&lt;5,J5=0),"Ұ",IF(OR(D5="Ж",F5="Ж"),"Ж",IF(OR(D5="А",F5="А",J5&gt;0),"А","Т"))))</f>
        <v/>
      </c>
    </row>
    <row r="6">
      <c r="A6" s="4" t="n">
        <v>5</v>
      </c>
      <c r="B6" s="5" t="inlineStr">
        <is>
          <t>сарбаз</t>
        </is>
      </c>
      <c r="C6" s="6" t="n"/>
      <c r="D6" s="6" t="n"/>
      <c r="E6" s="6" t="n"/>
      <c r="F6" s="6" t="n"/>
      <c r="G6" s="7" t="n"/>
      <c r="H6" s="7" t="n"/>
      <c r="I6" s="6" t="n"/>
      <c r="J6" s="4">
        <f>COUNTIF(Серуен!$E$2:$E$61,B6)</f>
        <v/>
      </c>
      <c r="K6" s="8">
        <f>IF(COUNT(C6,E6)=0,"",IF(AND(N(C6)+N(E6)&lt;5,J6=0),"Ұ",IF(OR(D6="Ж",F6="Ж"),"Ж",IF(OR(D6="А",F6="А",J6&gt;0),"А","Т"))))</f>
        <v/>
      </c>
    </row>
    <row r="7">
      <c r="A7" s="4" t="n">
        <v>6</v>
      </c>
      <c r="B7" s="5" t="inlineStr">
        <is>
          <t>жасақ</t>
        </is>
      </c>
      <c r="C7" s="6" t="n"/>
      <c r="D7" s="6" t="n"/>
      <c r="E7" s="6" t="n"/>
      <c r="F7" s="6" t="n"/>
      <c r="G7" s="7" t="n"/>
      <c r="H7" s="7" t="n"/>
      <c r="I7" s="6" t="n"/>
      <c r="J7" s="4">
        <f>COUNTIF(Серуен!$E$2:$E$61,B7)</f>
        <v/>
      </c>
      <c r="K7" s="8">
        <f>IF(COUNT(C7,E7)=0,"",IF(AND(N(C7)+N(E7)&lt;5,J7=0),"Ұ",IF(OR(D7="Ж",F7="Ж"),"Ж",IF(OR(D7="А",F7="А",J7&gt;0),"А","Т"))))</f>
        <v/>
      </c>
    </row>
    <row r="8">
      <c r="A8" s="4" t="n">
        <v>7</v>
      </c>
      <c r="B8" s="5" t="inlineStr">
        <is>
          <t>болыс</t>
        </is>
      </c>
      <c r="C8" s="6" t="n"/>
      <c r="D8" s="6" t="n"/>
      <c r="E8" s="6" t="n"/>
      <c r="F8" s="6" t="n"/>
      <c r="G8" s="7" t="n"/>
      <c r="H8" s="7" t="n"/>
      <c r="I8" s="6" t="n"/>
      <c r="J8" s="4">
        <f>COUNTIF(Серуен!$E$2:$E$61,B8)</f>
        <v/>
      </c>
      <c r="K8" s="8">
        <f>IF(COUNT(C8,E8)=0,"",IF(AND(N(C8)+N(E8)&lt;5,J8=0),"Ұ",IF(OR(D8="Ж",F8="Ж"),"Ж",IF(OR(D8="А",F8="А",J8&gt;0),"А","Т"))))</f>
        <v/>
      </c>
    </row>
    <row r="9">
      <c r="A9" s="4" t="n">
        <v>8</v>
      </c>
      <c r="B9" s="5" t="inlineStr">
        <is>
          <t>ауылнай</t>
        </is>
      </c>
      <c r="C9" s="6" t="n"/>
      <c r="D9" s="6" t="n"/>
      <c r="E9" s="6" t="n"/>
      <c r="F9" s="6" t="n"/>
      <c r="G9" s="7" t="n"/>
      <c r="H9" s="7" t="n"/>
      <c r="I9" s="6" t="n"/>
      <c r="J9" s="4">
        <f>COUNTIF(Серуен!$E$2:$E$61,B9)</f>
        <v/>
      </c>
      <c r="K9" s="8">
        <f>IF(COUNT(C9,E9)=0,"",IF(AND(N(C9)+N(E9)&lt;5,J9=0),"Ұ",IF(OR(D9="Ж",F9="Ж"),"Ж",IF(OR(D9="А",F9="А",J9&gt;0),"А","Т"))))</f>
        <v/>
      </c>
    </row>
    <row r="10">
      <c r="A10" s="4" t="n">
        <v>9</v>
      </c>
      <c r="B10" s="5" t="inlineStr">
        <is>
          <t>уәзір</t>
        </is>
      </c>
      <c r="C10" s="6" t="n"/>
      <c r="D10" s="6" t="n"/>
      <c r="E10" s="6" t="n"/>
      <c r="F10" s="6" t="n"/>
      <c r="G10" s="7" t="n"/>
      <c r="H10" s="7" t="n"/>
      <c r="I10" s="6" t="n"/>
      <c r="J10" s="4">
        <f>COUNTIF(Серуен!$E$2:$E$61,B10)</f>
        <v/>
      </c>
      <c r="K10" s="8">
        <f>IF(COUNT(C10,E10)=0,"",IF(AND(N(C10)+N(E10)&lt;5,J10=0),"Ұ",IF(OR(D10="Ж",F10="Ж"),"Ж",IF(OR(D10="А",F10="А",J10&gt;0),"А","Т"))))</f>
        <v/>
      </c>
    </row>
    <row r="11">
      <c r="A11" s="4" t="n">
        <v>10</v>
      </c>
      <c r="B11" s="5" t="inlineStr">
        <is>
          <t>әкім</t>
        </is>
      </c>
      <c r="C11" s="6" t="n"/>
      <c r="D11" s="6" t="n"/>
      <c r="E11" s="6" t="n"/>
      <c r="F11" s="6" t="n"/>
      <c r="G11" s="7" t="n"/>
      <c r="H11" s="7" t="n"/>
      <c r="I11" s="6" t="n"/>
      <c r="J11" s="4">
        <f>COUNTIF(Серуен!$E$2:$E$61,B11)</f>
        <v/>
      </c>
      <c r="K11" s="8">
        <f>IF(COUNT(C11,E11)=0,"",IF(AND(N(C11)+N(E11)&lt;5,J11=0),"Ұ",IF(OR(D11="Ж",F11="Ж"),"Ж",IF(OR(D11="А",F11="А",J11&gt;0),"А","Т"))))</f>
        <v/>
      </c>
    </row>
    <row r="12">
      <c r="A12" s="4" t="n">
        <v>11</v>
      </c>
      <c r="B12" s="5" t="inlineStr">
        <is>
          <t>құрылтай</t>
        </is>
      </c>
      <c r="C12" s="6" t="n"/>
      <c r="D12" s="6" t="n"/>
      <c r="E12" s="6" t="n"/>
      <c r="F12" s="6" t="n"/>
      <c r="G12" s="7" t="n"/>
      <c r="H12" s="7" t="n"/>
      <c r="I12" s="6" t="n"/>
      <c r="J12" s="4">
        <f>COUNTIF(Серуен!$E$2:$E$61,B12)</f>
        <v/>
      </c>
      <c r="K12" s="8">
        <f>IF(COUNT(C12,E12)=0,"",IF(AND(N(C12)+N(E12)&lt;5,J12=0),"Ұ",IF(OR(D12="Ж",F12="Ж"),"Ж",IF(OR(D12="А",F12="А",J12&gt;0),"А","Т"))))</f>
        <v/>
      </c>
    </row>
    <row r="13">
      <c r="A13" s="4" t="n">
        <v>12</v>
      </c>
      <c r="B13" s="5" t="inlineStr">
        <is>
          <t>елші</t>
        </is>
      </c>
      <c r="C13" s="6" t="n"/>
      <c r="D13" s="6" t="n"/>
      <c r="E13" s="6" t="n"/>
      <c r="F13" s="6" t="n"/>
      <c r="G13" s="7" t="n"/>
      <c r="H13" s="7" t="n"/>
      <c r="I13" s="6" t="n"/>
      <c r="J13" s="4">
        <f>COUNTIF(Серуен!$E$2:$E$61,B13)</f>
        <v/>
      </c>
      <c r="K13" s="8">
        <f>IF(COUNT(C13,E13)=0,"",IF(AND(N(C13)+N(E13)&lt;5,J13=0),"Ұ",IF(OR(D13="Ж",F13="Ж"),"Ж",IF(OR(D13="А",F13="А",J13&gt;0),"А","Т"))))</f>
        <v/>
      </c>
    </row>
    <row r="14">
      <c r="A14" s="4" t="n">
        <v>13</v>
      </c>
      <c r="B14" s="5" t="inlineStr">
        <is>
          <t>жарлық</t>
        </is>
      </c>
      <c r="C14" s="6" t="n"/>
      <c r="D14" s="6" t="n"/>
      <c r="E14" s="6" t="n"/>
      <c r="F14" s="6" t="n"/>
      <c r="G14" s="7" t="n"/>
      <c r="H14" s="7" t="n"/>
      <c r="I14" s="6" t="n"/>
      <c r="J14" s="4">
        <f>COUNTIF(Серуен!$E$2:$E$61,B14)</f>
        <v/>
      </c>
      <c r="K14" s="8">
        <f>IF(COUNT(C14,E14)=0,"",IF(AND(N(C14)+N(E14)&lt;5,J14=0),"Ұ",IF(OR(D14="Ж",F14="Ж"),"Ж",IF(OR(D14="А",F14="А",J14&gt;0),"А","Т"))))</f>
        <v/>
      </c>
    </row>
    <row r="15">
      <c r="A15" s="4" t="n">
        <v>14</v>
      </c>
      <c r="B15" s="5" t="inlineStr">
        <is>
          <t>мәжіліс</t>
        </is>
      </c>
      <c r="C15" s="6" t="n"/>
      <c r="D15" s="6" t="n"/>
      <c r="E15" s="6" t="n"/>
      <c r="F15" s="6" t="n"/>
      <c r="G15" s="7" t="n"/>
      <c r="H15" s="7" t="n"/>
      <c r="I15" s="6" t="n"/>
      <c r="J15" s="4">
        <f>COUNTIF(Серуен!$E$2:$E$61,B15)</f>
        <v/>
      </c>
      <c r="K15" s="8">
        <f>IF(COUNT(C15,E15)=0,"",IF(AND(N(C15)+N(E15)&lt;5,J15=0),"Ұ",IF(OR(D15="Ж",F15="Ж"),"Ж",IF(OR(D15="А",F15="А",J15&gt;0),"А","Т"))))</f>
        <v/>
      </c>
    </row>
    <row r="16">
      <c r="A16" s="4" t="n">
        <v>15</v>
      </c>
      <c r="B16" s="5" t="inlineStr">
        <is>
          <t>кеден</t>
        </is>
      </c>
      <c r="C16" s="6" t="n"/>
      <c r="D16" s="6" t="n"/>
      <c r="E16" s="6" t="n"/>
      <c r="F16" s="6" t="n"/>
      <c r="G16" s="7" t="n"/>
      <c r="H16" s="7" t="n"/>
      <c r="I16" s="6" t="n"/>
      <c r="J16" s="4">
        <f>COUNTIF(Серуен!$E$2:$E$61,B16)</f>
        <v/>
      </c>
      <c r="K16" s="8">
        <f>IF(COUNT(C16,E16)=0,"",IF(AND(N(C16)+N(E16)&lt;5,J16=0),"Ұ",IF(OR(D16="Ж",F16="Ж"),"Ж",IF(OR(D16="А",F16="А",J16&gt;0),"А","Т"))))</f>
        <v/>
      </c>
    </row>
    <row r="17">
      <c r="A17" s="4" t="n">
        <v>16</v>
      </c>
      <c r="B17" s="5" t="inlineStr">
        <is>
          <t>ұлық</t>
        </is>
      </c>
      <c r="C17" s="6" t="n"/>
      <c r="D17" s="6" t="n"/>
      <c r="E17" s="6" t="n"/>
      <c r="F17" s="6" t="n"/>
      <c r="G17" s="7" t="n"/>
      <c r="H17" s="7" t="n"/>
      <c r="I17" s="6" t="n"/>
      <c r="J17" s="4">
        <f>COUNTIF(Серуен!$E$2:$E$61,B17)</f>
        <v/>
      </c>
      <c r="K17" s="8">
        <f>IF(COUNT(C17,E17)=0,"",IF(AND(N(C17)+N(E17)&lt;5,J17=0),"Ұ",IF(OR(D17="Ж",F17="Ж"),"Ж",IF(OR(D17="А",F17="А",J17&gt;0),"А","Т"))))</f>
        <v/>
      </c>
    </row>
    <row r="18">
      <c r="A18" s="4" t="n">
        <v>17</v>
      </c>
      <c r="B18" s="5" t="inlineStr">
        <is>
          <t>пәрмен</t>
        </is>
      </c>
      <c r="C18" s="6" t="n"/>
      <c r="D18" s="6" t="n"/>
      <c r="E18" s="6" t="n"/>
      <c r="F18" s="6" t="n"/>
      <c r="G18" s="7" t="n"/>
      <c r="H18" s="7" t="n"/>
      <c r="I18" s="6" t="n"/>
      <c r="J18" s="4">
        <f>COUNTIF(Серуен!$E$2:$E$61,B18)</f>
        <v/>
      </c>
      <c r="K18" s="8">
        <f>IF(COUNT(C18,E18)=0,"",IF(AND(N(C18)+N(E18)&lt;5,J18=0),"Ұ",IF(OR(D18="Ж",F18="Ж"),"Ж",IF(OR(D18="А",F18="А",J18&gt;0),"А","Т"))))</f>
        <v/>
      </c>
    </row>
    <row r="19">
      <c r="A19" s="4" t="n">
        <v>18</v>
      </c>
      <c r="B19" s="5" t="inlineStr">
        <is>
          <t>жәдігер</t>
        </is>
      </c>
      <c r="C19" s="6" t="n"/>
      <c r="D19" s="6" t="n"/>
      <c r="E19" s="6" t="n"/>
      <c r="F19" s="6" t="n"/>
      <c r="G19" s="7" t="n"/>
      <c r="H19" s="7" t="n"/>
      <c r="I19" s="6" t="n"/>
      <c r="J19" s="4">
        <f>COUNTIF(Серуен!$E$2:$E$61,B19)</f>
        <v/>
      </c>
      <c r="K19" s="8">
        <f>IF(COUNT(C19,E19)=0,"",IF(AND(N(C19)+N(E19)&lt;5,J19=0),"Ұ",IF(OR(D19="Ж",F19="Ж"),"Ж",IF(OR(D19="А",F19="А",J19&gt;0),"А","Т"))))</f>
        <v/>
      </c>
    </row>
    <row r="20">
      <c r="A20" s="4" t="n">
        <v>19</v>
      </c>
      <c r="B20" s="5" t="inlineStr">
        <is>
          <t>теңге</t>
        </is>
      </c>
      <c r="C20" s="6" t="n"/>
      <c r="D20" s="6" t="n"/>
      <c r="E20" s="6" t="n"/>
      <c r="F20" s="6" t="n"/>
      <c r="G20" s="7" t="n"/>
      <c r="H20" s="7" t="n"/>
      <c r="I20" s="6" t="n"/>
      <c r="J20" s="4">
        <f>COUNTIF(Серуен!$E$2:$E$61,B20)</f>
        <v/>
      </c>
      <c r="K20" s="8">
        <f>IF(COUNT(C20,E20)=0,"",IF(AND(N(C20)+N(E20)&lt;5,J20=0),"Ұ",IF(OR(D20="Ж",F20="Ж"),"Ж",IF(OR(D20="А",F20="А",J20&gt;0),"А","Т"))))</f>
        <v/>
      </c>
    </row>
    <row r="21">
      <c r="A21" s="4" t="n">
        <v>20</v>
      </c>
      <c r="B21" s="5" t="inlineStr">
        <is>
          <t>тиын</t>
        </is>
      </c>
      <c r="C21" s="6" t="n"/>
      <c r="D21" s="6" t="n"/>
      <c r="E21" s="6" t="n"/>
      <c r="F21" s="6" t="n"/>
      <c r="G21" s="7" t="n"/>
      <c r="H21" s="7" t="n"/>
      <c r="I21" s="6" t="n"/>
      <c r="J21" s="4">
        <f>COUNTIF(Серуен!$E$2:$E$61,B21)</f>
        <v/>
      </c>
      <c r="K21" s="8">
        <f>IF(COUNT(C21,E21)=0,"",IF(AND(N(C21)+N(E21)&lt;5,J21=0),"Ұ",IF(OR(D21="Ж",F21="Ж"),"Ж",IF(OR(D21="А",F21="А",J21&gt;0),"А","Т"))))</f>
        <v/>
      </c>
    </row>
    <row r="22">
      <c r="A22" s="4" t="n">
        <v>21</v>
      </c>
      <c r="B22" s="5" t="inlineStr">
        <is>
          <t>пұт</t>
        </is>
      </c>
      <c r="C22" s="6" t="n"/>
      <c r="D22" s="6" t="n"/>
      <c r="E22" s="6" t="n"/>
      <c r="F22" s="6" t="n"/>
      <c r="G22" s="7" t="n"/>
      <c r="H22" s="7" t="n"/>
      <c r="I22" s="6" t="n"/>
      <c r="J22" s="4">
        <f>COUNTIF(Серуен!$E$2:$E$61,B22)</f>
        <v/>
      </c>
      <c r="K22" s="8">
        <f>IF(COUNT(C22,E22)=0,"",IF(AND(N(C22)+N(E22)&lt;5,J22=0),"Ұ",IF(OR(D22="Ж",F22="Ж"),"Ж",IF(OR(D22="А",F22="А",J22&gt;0),"А","Т"))))</f>
        <v/>
      </c>
    </row>
    <row r="23">
      <c r="A23" s="4" t="n">
        <v>22</v>
      </c>
      <c r="B23" s="5" t="inlineStr">
        <is>
          <t>батпан</t>
        </is>
      </c>
      <c r="C23" s="6" t="n"/>
      <c r="D23" s="6" t="n"/>
      <c r="E23" s="6" t="n"/>
      <c r="F23" s="6" t="n"/>
      <c r="G23" s="7" t="n"/>
      <c r="H23" s="7" t="n"/>
      <c r="I23" s="6" t="n"/>
      <c r="J23" s="4">
        <f>COUNTIF(Серуен!$E$2:$E$61,B23)</f>
        <v/>
      </c>
      <c r="K23" s="8">
        <f>IF(COUNT(C23,E23)=0,"",IF(AND(N(C23)+N(E23)&lt;5,J23=0),"Ұ",IF(OR(D23="Ж",F23="Ж"),"Ж",IF(OR(D23="А",F23="А",J23&gt;0),"А","Т"))))</f>
        <v/>
      </c>
    </row>
    <row r="24">
      <c r="A24" s="4" t="n">
        <v>23</v>
      </c>
      <c r="B24" s="5" t="inlineStr">
        <is>
          <t>құлаш</t>
        </is>
      </c>
      <c r="C24" s="6" t="n"/>
      <c r="D24" s="6" t="n"/>
      <c r="E24" s="6" t="n"/>
      <c r="F24" s="6" t="n"/>
      <c r="G24" s="7" t="n"/>
      <c r="H24" s="7" t="n"/>
      <c r="I24" s="6" t="n"/>
      <c r="J24" s="4">
        <f>COUNTIF(Серуен!$E$2:$E$61,B24)</f>
        <v/>
      </c>
      <c r="K24" s="8">
        <f>IF(COUNT(C24,E24)=0,"",IF(AND(N(C24)+N(E24)&lt;5,J24=0),"Ұ",IF(OR(D24="Ж",F24="Ж"),"Ж",IF(OR(D24="А",F24="А",J24&gt;0),"А","Т"))))</f>
        <v/>
      </c>
    </row>
    <row r="25">
      <c r="A25" s="4" t="n">
        <v>24</v>
      </c>
      <c r="B25" s="5" t="inlineStr">
        <is>
          <t>шақырым</t>
        </is>
      </c>
      <c r="C25" s="6" t="n"/>
      <c r="D25" s="6" t="n"/>
      <c r="E25" s="6" t="n"/>
      <c r="F25" s="6" t="n"/>
      <c r="G25" s="7" t="n"/>
      <c r="H25" s="7" t="n"/>
      <c r="I25" s="6" t="n"/>
      <c r="J25" s="4">
        <f>COUNTIF(Серуен!$E$2:$E$61,B25)</f>
        <v/>
      </c>
      <c r="K25" s="8">
        <f>IF(COUNT(C25,E25)=0,"",IF(AND(N(C25)+N(E25)&lt;5,J25=0),"Ұ",IF(OR(D25="Ж",F25="Ж"),"Ж",IF(OR(D25="А",F25="А",J25&gt;0),"А","Т"))))</f>
        <v/>
      </c>
    </row>
    <row r="26">
      <c r="A26" s="4" t="n">
        <v>25</v>
      </c>
      <c r="B26" s="5" t="inlineStr">
        <is>
          <t>сәукеле</t>
        </is>
      </c>
      <c r="C26" s="6" t="n"/>
      <c r="D26" s="6" t="n"/>
      <c r="E26" s="6" t="n"/>
      <c r="F26" s="6" t="n"/>
      <c r="G26" s="7" t="n"/>
      <c r="H26" s="7" t="n"/>
      <c r="I26" s="6" t="n"/>
      <c r="J26" s="4">
        <f>COUNTIF(Серуен!$E$2:$E$61,B26)</f>
        <v/>
      </c>
      <c r="K26" s="8">
        <f>IF(COUNT(C26,E26)=0,"",IF(AND(N(C26)+N(E26)&lt;5,J26=0),"Ұ",IF(OR(D26="Ж",F26="Ж"),"Ж",IF(OR(D26="А",F26="А",J26&gt;0),"А","Т"))))</f>
        <v/>
      </c>
    </row>
    <row r="27">
      <c r="A27" s="4" t="n">
        <v>26</v>
      </c>
      <c r="B27" s="5" t="inlineStr">
        <is>
          <t>кимешек</t>
        </is>
      </c>
      <c r="C27" s="6" t="n"/>
      <c r="D27" s="6" t="n"/>
      <c r="E27" s="6" t="n"/>
      <c r="F27" s="6" t="n"/>
      <c r="G27" s="7" t="n"/>
      <c r="H27" s="7" t="n"/>
      <c r="I27" s="6" t="n"/>
      <c r="J27" s="4">
        <f>COUNTIF(Серуен!$E$2:$E$61,B27)</f>
        <v/>
      </c>
      <c r="K27" s="8">
        <f>IF(COUNT(C27,E27)=0,"",IF(AND(N(C27)+N(E27)&lt;5,J27=0),"Ұ",IF(OR(D27="Ж",F27="Ж"),"Ж",IF(OR(D27="А",F27="А",J27&gt;0),"А","Т"))))</f>
        <v/>
      </c>
    </row>
    <row r="28">
      <c r="A28" s="4" t="n">
        <v>27</v>
      </c>
      <c r="B28" s="5" t="inlineStr">
        <is>
          <t>шекпен</t>
        </is>
      </c>
      <c r="C28" s="6" t="n"/>
      <c r="D28" s="6" t="n"/>
      <c r="E28" s="6" t="n"/>
      <c r="F28" s="6" t="n"/>
      <c r="G28" s="7" t="n"/>
      <c r="H28" s="7" t="n"/>
      <c r="I28" s="6" t="n"/>
      <c r="J28" s="4">
        <f>COUNTIF(Серуен!$E$2:$E$61,B28)</f>
        <v/>
      </c>
      <c r="K28" s="8">
        <f>IF(COUNT(C28,E28)=0,"",IF(AND(N(C28)+N(E28)&lt;5,J28=0),"Ұ",IF(OR(D28="Ж",F28="Ж"),"Ж",IF(OR(D28="А",F28="А",J28&gt;0),"А","Т"))))</f>
        <v/>
      </c>
    </row>
    <row r="29">
      <c r="A29" s="4" t="n">
        <v>28</v>
      </c>
      <c r="B29" s="5" t="inlineStr">
        <is>
          <t>кебенек</t>
        </is>
      </c>
      <c r="C29" s="6" t="n"/>
      <c r="D29" s="6" t="n"/>
      <c r="E29" s="6" t="n"/>
      <c r="F29" s="6" t="n"/>
      <c r="G29" s="7" t="n"/>
      <c r="H29" s="7" t="n"/>
      <c r="I29" s="6" t="n"/>
      <c r="J29" s="4">
        <f>COUNTIF(Серуен!$E$2:$E$61,B29)</f>
        <v/>
      </c>
      <c r="K29" s="8">
        <f>IF(COUNT(C29,E29)=0,"",IF(AND(N(C29)+N(E29)&lt;5,J29=0),"Ұ",IF(OR(D29="Ж",F29="Ж"),"Ж",IF(OR(D29="А",F29="А",J29&gt;0),"А","Т"))))</f>
        <v/>
      </c>
    </row>
    <row r="30">
      <c r="A30" s="4" t="n">
        <v>29</v>
      </c>
      <c r="B30" s="5" t="inlineStr">
        <is>
          <t>кебеже</t>
        </is>
      </c>
      <c r="C30" s="6" t="n"/>
      <c r="D30" s="6" t="n"/>
      <c r="E30" s="6" t="n"/>
      <c r="F30" s="6" t="n"/>
      <c r="G30" s="7" t="n"/>
      <c r="H30" s="7" t="n"/>
      <c r="I30" s="6" t="n"/>
      <c r="J30" s="4">
        <f>COUNTIF(Серуен!$E$2:$E$61,B30)</f>
        <v/>
      </c>
      <c r="K30" s="8">
        <f>IF(COUNT(C30,E30)=0,"",IF(AND(N(C30)+N(E30)&lt;5,J30=0),"Ұ",IF(OR(D30="Ж",F30="Ж"),"Ж",IF(OR(D30="А",F30="А",J30&gt;0),"А","Т"))))</f>
        <v/>
      </c>
    </row>
    <row r="31">
      <c r="A31" s="4" t="n">
        <v>30</v>
      </c>
      <c r="B31" s="5" t="inlineStr">
        <is>
          <t>саба</t>
        </is>
      </c>
      <c r="C31" s="6" t="n"/>
      <c r="D31" s="6" t="n"/>
      <c r="E31" s="6" t="n"/>
      <c r="F31" s="6" t="n"/>
      <c r="G31" s="7" t="n"/>
      <c r="H31" s="7" t="n"/>
      <c r="I31" s="6" t="n"/>
      <c r="J31" s="4">
        <f>COUNTIF(Серуен!$E$2:$E$61,B31)</f>
        <v/>
      </c>
      <c r="K31" s="8">
        <f>IF(COUNT(C31,E31)=0,"",IF(AND(N(C31)+N(E31)&lt;5,J31=0),"Ұ",IF(OR(D31="Ж",F31="Ж"),"Ж",IF(OR(D31="А",F31="А",J31&gt;0),"А","Т"))))</f>
        <v/>
      </c>
    </row>
    <row r="32">
      <c r="A32" s="4" t="n">
        <v>31</v>
      </c>
      <c r="B32" s="5" t="inlineStr">
        <is>
          <t>ләшкер</t>
        </is>
      </c>
      <c r="C32" s="6" t="n"/>
      <c r="D32" s="6" t="n"/>
      <c r="E32" s="6" t="n"/>
      <c r="F32" s="6" t="n"/>
      <c r="G32" s="7" t="n"/>
      <c r="H32" s="7" t="n"/>
      <c r="I32" s="6" t="n"/>
      <c r="J32" s="4">
        <f>COUNTIF(Серуен!$E$2:$E$61,B32)</f>
        <v/>
      </c>
      <c r="K32" s="8">
        <f>IF(COUNT(C32,E32)=0,"",IF(AND(N(C32)+N(E32)&lt;5,J32=0),"Ұ",IF(OR(D32="Ж",F32="Ж"),"Ж",IF(OR(D32="А",F32="А",J32&gt;0),"А","Т"))))</f>
        <v/>
      </c>
    </row>
    <row r="33">
      <c r="A33" s="4" t="n">
        <v>32</v>
      </c>
      <c r="B33" s="5" t="inlineStr">
        <is>
          <t>тамұқ</t>
        </is>
      </c>
      <c r="C33" s="6" t="n"/>
      <c r="D33" s="6" t="n"/>
      <c r="E33" s="6" t="n"/>
      <c r="F33" s="6" t="n"/>
      <c r="G33" s="7" t="n"/>
      <c r="H33" s="7" t="n"/>
      <c r="I33" s="6" t="n"/>
      <c r="J33" s="4">
        <f>COUNTIF(Серуен!$E$2:$E$61,B33)</f>
        <v/>
      </c>
      <c r="K33" s="8">
        <f>IF(COUNT(C33,E33)=0,"",IF(AND(N(C33)+N(E33)&lt;5,J33=0),"Ұ",IF(OR(D33="Ж",F33="Ж"),"Ж",IF(OR(D33="А",F33="А",J33&gt;0),"А","Т"))))</f>
        <v/>
      </c>
    </row>
    <row r="34">
      <c r="A34" s="4" t="n">
        <v>33</v>
      </c>
      <c r="B34" s="5" t="inlineStr">
        <is>
          <t>мейман</t>
        </is>
      </c>
      <c r="C34" s="6" t="n"/>
      <c r="D34" s="6" t="n"/>
      <c r="E34" s="6" t="n"/>
      <c r="F34" s="6" t="n"/>
      <c r="G34" s="7" t="n"/>
      <c r="H34" s="7" t="n"/>
      <c r="I34" s="6" t="n"/>
      <c r="J34" s="4">
        <f>COUNTIF(Серуен!$E$2:$E$61,B34)</f>
        <v/>
      </c>
      <c r="K34" s="8">
        <f>IF(COUNT(C34,E34)=0,"",IF(AND(N(C34)+N(E34)&lt;5,J34=0),"Ұ",IF(OR(D34="Ж",F34="Ж"),"Ж",IF(OR(D34="А",F34="А",J34&gt;0),"А","Т"))))</f>
        <v/>
      </c>
    </row>
    <row r="35">
      <c r="A35" s="4" t="n">
        <v>34</v>
      </c>
      <c r="B35" s="5" t="inlineStr">
        <is>
          <t>ділмар</t>
        </is>
      </c>
      <c r="C35" s="6" t="n"/>
      <c r="D35" s="6" t="n"/>
      <c r="E35" s="6" t="n"/>
      <c r="F35" s="6" t="n"/>
      <c r="G35" s="7" t="n"/>
      <c r="H35" s="7" t="n"/>
      <c r="I35" s="6" t="n"/>
      <c r="J35" s="4">
        <f>COUNTIF(Серуен!$E$2:$E$61,B35)</f>
        <v/>
      </c>
      <c r="K35" s="8">
        <f>IF(COUNT(C35,E35)=0,"",IF(AND(N(C35)+N(E35)&lt;5,J35=0),"Ұ",IF(OR(D35="Ж",F35="Ж"),"Ж",IF(OR(D35="А",F35="А",J35&gt;0),"А","Т"))))</f>
        <v/>
      </c>
    </row>
    <row r="36">
      <c r="A36" s="4" t="n">
        <v>35</v>
      </c>
      <c r="B36" s="5" t="inlineStr">
        <is>
          <t>нөкер</t>
        </is>
      </c>
      <c r="C36" s="6" t="n"/>
      <c r="D36" s="6" t="n"/>
      <c r="E36" s="6" t="n"/>
      <c r="F36" s="6" t="n"/>
      <c r="G36" s="7" t="n"/>
      <c r="H36" s="7" t="n"/>
      <c r="I36" s="6" t="n"/>
      <c r="J36" s="4">
        <f>COUNTIF(Серуен!$E$2:$E$61,B36)</f>
        <v/>
      </c>
      <c r="K36" s="8">
        <f>IF(COUNT(C36,E36)=0,"",IF(AND(N(C36)+N(E36)&lt;5,J36=0),"Ұ",IF(OR(D36="Ж",F36="Ж"),"Ж",IF(OR(D36="А",F36="А",J36&gt;0),"А","Т"))))</f>
        <v/>
      </c>
    </row>
    <row r="37">
      <c r="A37" s="4" t="n">
        <v>36</v>
      </c>
      <c r="B37" s="5" t="inlineStr">
        <is>
          <t>тұлпар</t>
        </is>
      </c>
      <c r="C37" s="6" t="n"/>
      <c r="D37" s="6" t="n"/>
      <c r="E37" s="6" t="n"/>
      <c r="F37" s="6" t="n"/>
      <c r="G37" s="7" t="n"/>
      <c r="H37" s="7" t="n"/>
      <c r="I37" s="6" t="n"/>
      <c r="J37" s="4">
        <f>COUNTIF(Серуен!$E$2:$E$61,B37)</f>
        <v/>
      </c>
      <c r="K37" s="8">
        <f>IF(COUNT(C37,E37)=0,"",IF(AND(N(C37)+N(E37)&lt;5,J37=0),"Ұ",IF(OR(D37="Ж",F37="Ж"),"Ж",IF(OR(D37="А",F37="А",J37&gt;0),"А","Т"))))</f>
        <v/>
      </c>
    </row>
  </sheetData>
  <dataValidations count="1">
    <dataValidation sqref="D2 D3 D4 D5 D6 D7 D8 D9 D10 D11 D12 D13 D14 D15 D16 D17 D18 D19 D20 D21 D22 D23 D24 D25 D26 D27 D28 D29 D30 D31 D32 D33 D34 D35 D36 D37 F2 F3 F4 F5 F6 F7 F8 F9 F10 F11 F12 F13 F14 F15 F16 F17 F18 F19 F20 F21 F22 F23 F24 F25 F26 F27 F28 F29 F30 F31 F32 F33 F34 F35 F36 F37" showDropDown="0" showInputMessage="0" showErrorMessage="0" allowBlank="1" type="list">
      <formula1>"Ж,А,Т,Б"</formula1>
    </dataValidation>
  </dataValidations>
  <pageMargins left="0.75" right="0.75" top="1" bottom="1" header="0.5" footer="0.5"/>
  <pageSetup orientation="landscape" paperSize="9" fitToHeight="0" fitToWidth="1"/>
</worksheet>
</file>

<file path=xl/worksheets/sheet5.xml><?xml version="1.0" encoding="utf-8"?>
<worksheet xmlns="http://schemas.openxmlformats.org/spreadsheetml/2006/main">
  <sheetPr>
    <outlinePr summaryBelow="1" summaryRight="1"/>
    <pageSetUpPr fitToPage="1"/>
  </sheetPr>
  <dimension ref="A1:Z19"/>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7" customWidth="1" min="1" max="1"/>
    <col width="22" customWidth="1" min="2" max="2"/>
    <col width="10" customWidth="1" min="3" max="3"/>
    <col width="10" customWidth="1" min="4" max="4"/>
    <col width="10" customWidth="1" min="5" max="5"/>
    <col width="10" customWidth="1" min="6" max="6"/>
    <col width="10" customWidth="1" min="7" max="7"/>
    <col width="10" customWidth="1" min="8" max="8"/>
    <col width="10" customWidth="1" min="9" max="9"/>
    <col width="10" customWidth="1" min="10" max="10"/>
    <col width="10" customWidth="1" min="11" max="11"/>
    <col width="10" customWidth="1" min="12" max="12"/>
    <col width="10" customWidth="1" min="13" max="13"/>
    <col width="10" customWidth="1" min="14" max="14"/>
    <col width="10" customWidth="1" min="15" max="15"/>
    <col width="10" customWidth="1" min="16" max="16"/>
    <col width="10" customWidth="1" min="17" max="17"/>
    <col width="10" customWidth="1" min="18" max="18"/>
    <col width="10" customWidth="1" min="19" max="19"/>
    <col width="10" customWidth="1" min="20" max="20"/>
    <col width="10" customWidth="1" min="21" max="21"/>
    <col width="10" customWidth="1" min="22" max="22"/>
    <col width="10" customWidth="1" min="23" max="23"/>
    <col width="10" customWidth="1" min="24" max="24"/>
    <col width="10" customWidth="1" min="25" max="25"/>
    <col width="10" customWidth="1" min="26" max="26"/>
  </cols>
  <sheetData>
    <row r="1" ht="60" customHeight="1">
      <c r="A1" s="3" t="inlineStr">
        <is>
          <t>Код</t>
        </is>
      </c>
      <c r="B1" s="3" t="inlineStr">
        <is>
          <t>Буын</t>
        </is>
      </c>
      <c r="C1" s="3" t="inlineStr">
        <is>
          <t>сауыт: білу (0/1/2)</t>
        </is>
      </c>
      <c r="D1" s="3" t="inlineStr">
        <is>
          <t>сауыт: естиді (1/0)</t>
        </is>
      </c>
      <c r="E1" s="3" t="inlineStr">
        <is>
          <t>сарбаз: білу (0/1/2)</t>
        </is>
      </c>
      <c r="F1" s="3" t="inlineStr">
        <is>
          <t>сарбаз: естиді (1/0)</t>
        </is>
      </c>
      <c r="G1" s="3" t="inlineStr">
        <is>
          <t>болыс: білу (0/1/2)</t>
        </is>
      </c>
      <c r="H1" s="3" t="inlineStr">
        <is>
          <t>болыс: естиді (1/0)</t>
        </is>
      </c>
      <c r="I1" s="3" t="inlineStr">
        <is>
          <t>әкім: білу (0/1/2)</t>
        </is>
      </c>
      <c r="J1" s="3" t="inlineStr">
        <is>
          <t>әкім: естиді (1/0)</t>
        </is>
      </c>
      <c r="K1" s="3" t="inlineStr">
        <is>
          <t>жарлық: білу (0/1/2)</t>
        </is>
      </c>
      <c r="L1" s="3" t="inlineStr">
        <is>
          <t>жарлық: естиді (1/0)</t>
        </is>
      </c>
      <c r="M1" s="3" t="inlineStr">
        <is>
          <t>пәрмен: білу (0/1/2)</t>
        </is>
      </c>
      <c r="N1" s="3" t="inlineStr">
        <is>
          <t>пәрмен: естиді (1/0)</t>
        </is>
      </c>
      <c r="O1" s="3" t="inlineStr">
        <is>
          <t>батпан: білу (0/1/2)</t>
        </is>
      </c>
      <c r="P1" s="3" t="inlineStr">
        <is>
          <t>батпан: естиді (1/0)</t>
        </is>
      </c>
      <c r="Q1" s="3" t="inlineStr">
        <is>
          <t>тиын: білу (0/1/2)</t>
        </is>
      </c>
      <c r="R1" s="3" t="inlineStr">
        <is>
          <t>тиын: естиді (1/0)</t>
        </is>
      </c>
      <c r="S1" s="3" t="inlineStr">
        <is>
          <t>кебенек: білу (0/1/2)</t>
        </is>
      </c>
      <c r="T1" s="3" t="inlineStr">
        <is>
          <t>кебенек: естиді (1/0)</t>
        </is>
      </c>
      <c r="U1" s="3" t="inlineStr">
        <is>
          <t>сәукеле: білу (0/1/2)</t>
        </is>
      </c>
      <c r="V1" s="3" t="inlineStr">
        <is>
          <t>сәукеле: естиді (1/0)</t>
        </is>
      </c>
      <c r="W1" s="3" t="inlineStr">
        <is>
          <t>тамұқ: білу (0/1/2)</t>
        </is>
      </c>
      <c r="X1" s="3" t="inlineStr">
        <is>
          <t>тамұқ: естиді (1/0)</t>
        </is>
      </c>
      <c r="Y1" s="3" t="inlineStr">
        <is>
          <t>тұлпар: білу (0/1/2)</t>
        </is>
      </c>
      <c r="Z1" s="3" t="inlineStr">
        <is>
          <t>тұлпар: естиді (1/0)</t>
        </is>
      </c>
    </row>
    <row r="2">
      <c r="A2" s="4" t="inlineStr">
        <is>
          <t>О01</t>
        </is>
      </c>
      <c r="B2" s="5" t="inlineStr">
        <is>
          <t>Оқушылар (11–14 жас)</t>
        </is>
      </c>
      <c r="C2" s="6" t="n"/>
      <c r="D2" s="6" t="n"/>
      <c r="E2" s="6" t="n"/>
      <c r="F2" s="6" t="n"/>
      <c r="G2" s="6" t="n"/>
      <c r="H2" s="6" t="n"/>
      <c r="I2" s="6" t="n"/>
      <c r="J2" s="6" t="n"/>
      <c r="K2" s="6" t="n"/>
      <c r="L2" s="6" t="n"/>
      <c r="M2" s="6" t="n"/>
      <c r="N2" s="6" t="n"/>
      <c r="O2" s="6" t="n"/>
      <c r="P2" s="6" t="n"/>
      <c r="Q2" s="6" t="n"/>
      <c r="R2" s="6" t="n"/>
      <c r="S2" s="6" t="n"/>
      <c r="T2" s="6" t="n"/>
      <c r="U2" s="6" t="n"/>
      <c r="V2" s="6" t="n"/>
      <c r="W2" s="6" t="n"/>
      <c r="X2" s="6" t="n"/>
      <c r="Y2" s="6" t="n"/>
      <c r="Z2" s="6" t="n"/>
    </row>
    <row r="3">
      <c r="A3" s="4" t="inlineStr">
        <is>
          <t>О02</t>
        </is>
      </c>
      <c r="B3" s="5" t="inlineStr">
        <is>
          <t>Оқушылар (11–14 жас)</t>
        </is>
      </c>
      <c r="C3" s="6" t="n"/>
      <c r="D3" s="6" t="n"/>
      <c r="E3" s="6" t="n"/>
      <c r="F3" s="6" t="n"/>
      <c r="G3" s="6" t="n"/>
      <c r="H3" s="6" t="n"/>
      <c r="I3" s="6" t="n"/>
      <c r="J3" s="6" t="n"/>
      <c r="K3" s="6" t="n"/>
      <c r="L3" s="6" t="n"/>
      <c r="M3" s="6" t="n"/>
      <c r="N3" s="6" t="n"/>
      <c r="O3" s="6" t="n"/>
      <c r="P3" s="6" t="n"/>
      <c r="Q3" s="6" t="n"/>
      <c r="R3" s="6" t="n"/>
      <c r="S3" s="6" t="n"/>
      <c r="T3" s="6" t="n"/>
      <c r="U3" s="6" t="n"/>
      <c r="V3" s="6" t="n"/>
      <c r="W3" s="6" t="n"/>
      <c r="X3" s="6" t="n"/>
      <c r="Y3" s="6" t="n"/>
      <c r="Z3" s="6" t="n"/>
    </row>
    <row r="4">
      <c r="A4" s="4" t="inlineStr">
        <is>
          <t>О03</t>
        </is>
      </c>
      <c r="B4" s="5" t="inlineStr">
        <is>
          <t>Оқушылар (11–14 жас)</t>
        </is>
      </c>
      <c r="C4" s="6" t="n"/>
      <c r="D4" s="6" t="n"/>
      <c r="E4" s="6" t="n"/>
      <c r="F4" s="6" t="n"/>
      <c r="G4" s="6" t="n"/>
      <c r="H4" s="6" t="n"/>
      <c r="I4" s="6" t="n"/>
      <c r="J4" s="6" t="n"/>
      <c r="K4" s="6" t="n"/>
      <c r="L4" s="6" t="n"/>
      <c r="M4" s="6" t="n"/>
      <c r="N4" s="6" t="n"/>
      <c r="O4" s="6" t="n"/>
      <c r="P4" s="6" t="n"/>
      <c r="Q4" s="6" t="n"/>
      <c r="R4" s="6" t="n"/>
      <c r="S4" s="6" t="n"/>
      <c r="T4" s="6" t="n"/>
      <c r="U4" s="6" t="n"/>
      <c r="V4" s="6" t="n"/>
      <c r="W4" s="6" t="n"/>
      <c r="X4" s="6" t="n"/>
      <c r="Y4" s="6" t="n"/>
      <c r="Z4" s="6" t="n"/>
    </row>
    <row r="5">
      <c r="A5" s="4" t="inlineStr">
        <is>
          <t>О04</t>
        </is>
      </c>
      <c r="B5" s="5" t="inlineStr">
        <is>
          <t>Оқушылар (11–14 жас)</t>
        </is>
      </c>
      <c r="C5" s="6" t="n"/>
      <c r="D5" s="6" t="n"/>
      <c r="E5" s="6" t="n"/>
      <c r="F5" s="6" t="n"/>
      <c r="G5" s="6" t="n"/>
      <c r="H5" s="6" t="n"/>
      <c r="I5" s="6" t="n"/>
      <c r="J5" s="6" t="n"/>
      <c r="K5" s="6" t="n"/>
      <c r="L5" s="6" t="n"/>
      <c r="M5" s="6" t="n"/>
      <c r="N5" s="6" t="n"/>
      <c r="O5" s="6" t="n"/>
      <c r="P5" s="6" t="n"/>
      <c r="Q5" s="6" t="n"/>
      <c r="R5" s="6" t="n"/>
      <c r="S5" s="6" t="n"/>
      <c r="T5" s="6" t="n"/>
      <c r="U5" s="6" t="n"/>
      <c r="V5" s="6" t="n"/>
      <c r="W5" s="6" t="n"/>
      <c r="X5" s="6" t="n"/>
      <c r="Y5" s="6" t="n"/>
      <c r="Z5" s="6" t="n"/>
    </row>
    <row r="6">
      <c r="A6" s="4" t="inlineStr">
        <is>
          <t>О05</t>
        </is>
      </c>
      <c r="B6" s="5" t="inlineStr">
        <is>
          <t>Оқушылар (11–14 жас)</t>
        </is>
      </c>
      <c r="C6" s="6" t="n"/>
      <c r="D6" s="6" t="n"/>
      <c r="E6" s="6" t="n"/>
      <c r="F6" s="6" t="n"/>
      <c r="G6" s="6" t="n"/>
      <c r="H6" s="6" t="n"/>
      <c r="I6" s="6" t="n"/>
      <c r="J6" s="6" t="n"/>
      <c r="K6" s="6" t="n"/>
      <c r="L6" s="6" t="n"/>
      <c r="M6" s="6" t="n"/>
      <c r="N6" s="6" t="n"/>
      <c r="O6" s="6" t="n"/>
      <c r="P6" s="6" t="n"/>
      <c r="Q6" s="6" t="n"/>
      <c r="R6" s="6" t="n"/>
      <c r="S6" s="6" t="n"/>
      <c r="T6" s="6" t="n"/>
      <c r="U6" s="6" t="n"/>
      <c r="V6" s="6" t="n"/>
      <c r="W6" s="6" t="n"/>
      <c r="X6" s="6" t="n"/>
      <c r="Y6" s="6" t="n"/>
      <c r="Z6" s="6" t="n"/>
    </row>
    <row r="7">
      <c r="A7" s="4" t="inlineStr">
        <is>
          <t>О06</t>
        </is>
      </c>
      <c r="B7" s="5" t="inlineStr">
        <is>
          <t>Оқушылар (11–14 жас)</t>
        </is>
      </c>
      <c r="C7" s="6" t="n"/>
      <c r="D7" s="6" t="n"/>
      <c r="E7" s="6" t="n"/>
      <c r="F7" s="6" t="n"/>
      <c r="G7" s="6" t="n"/>
      <c r="H7" s="6" t="n"/>
      <c r="I7" s="6" t="n"/>
      <c r="J7" s="6" t="n"/>
      <c r="K7" s="6" t="n"/>
      <c r="L7" s="6" t="n"/>
      <c r="M7" s="6" t="n"/>
      <c r="N7" s="6" t="n"/>
      <c r="O7" s="6" t="n"/>
      <c r="P7" s="6" t="n"/>
      <c r="Q7" s="6" t="n"/>
      <c r="R7" s="6" t="n"/>
      <c r="S7" s="6" t="n"/>
      <c r="T7" s="6" t="n"/>
      <c r="U7" s="6" t="n"/>
      <c r="V7" s="6" t="n"/>
      <c r="W7" s="6" t="n"/>
      <c r="X7" s="6" t="n"/>
      <c r="Y7" s="6" t="n"/>
      <c r="Z7" s="6" t="n"/>
    </row>
    <row r="8">
      <c r="A8" s="4" t="inlineStr">
        <is>
          <t>Ә01</t>
        </is>
      </c>
      <c r="B8" s="5" t="inlineStr">
        <is>
          <t>Ата-аналар (30–55 жас)</t>
        </is>
      </c>
      <c r="C8" s="6" t="n"/>
      <c r="D8" s="6" t="n"/>
      <c r="E8" s="6" t="n"/>
      <c r="F8" s="6" t="n"/>
      <c r="G8" s="6" t="n"/>
      <c r="H8" s="6" t="n"/>
      <c r="I8" s="6" t="n"/>
      <c r="J8" s="6" t="n"/>
      <c r="K8" s="6" t="n"/>
      <c r="L8" s="6" t="n"/>
      <c r="M8" s="6" t="n"/>
      <c r="N8" s="6" t="n"/>
      <c r="O8" s="6" t="n"/>
      <c r="P8" s="6" t="n"/>
      <c r="Q8" s="6" t="n"/>
      <c r="R8" s="6" t="n"/>
      <c r="S8" s="6" t="n"/>
      <c r="T8" s="6" t="n"/>
      <c r="U8" s="6" t="n"/>
      <c r="V8" s="6" t="n"/>
      <c r="W8" s="6" t="n"/>
      <c r="X8" s="6" t="n"/>
      <c r="Y8" s="6" t="n"/>
      <c r="Z8" s="6" t="n"/>
    </row>
    <row r="9">
      <c r="A9" s="4" t="inlineStr">
        <is>
          <t>Ә02</t>
        </is>
      </c>
      <c r="B9" s="5" t="inlineStr">
        <is>
          <t>Ата-аналар (30–55 жас)</t>
        </is>
      </c>
      <c r="C9" s="6" t="n"/>
      <c r="D9" s="6" t="n"/>
      <c r="E9" s="6" t="n"/>
      <c r="F9" s="6" t="n"/>
      <c r="G9" s="6" t="n"/>
      <c r="H9" s="6" t="n"/>
      <c r="I9" s="6" t="n"/>
      <c r="J9" s="6" t="n"/>
      <c r="K9" s="6" t="n"/>
      <c r="L9" s="6" t="n"/>
      <c r="M9" s="6" t="n"/>
      <c r="N9" s="6" t="n"/>
      <c r="O9" s="6" t="n"/>
      <c r="P9" s="6" t="n"/>
      <c r="Q9" s="6" t="n"/>
      <c r="R9" s="6" t="n"/>
      <c r="S9" s="6" t="n"/>
      <c r="T9" s="6" t="n"/>
      <c r="U9" s="6" t="n"/>
      <c r="V9" s="6" t="n"/>
      <c r="W9" s="6" t="n"/>
      <c r="X9" s="6" t="n"/>
      <c r="Y9" s="6" t="n"/>
      <c r="Z9" s="6" t="n"/>
    </row>
    <row r="10">
      <c r="A10" s="4" t="inlineStr">
        <is>
          <t>Ә03</t>
        </is>
      </c>
      <c r="B10" s="5" t="inlineStr">
        <is>
          <t>Ата-аналар (30–55 жас)</t>
        </is>
      </c>
      <c r="C10" s="6" t="n"/>
      <c r="D10" s="6" t="n"/>
      <c r="E10" s="6" t="n"/>
      <c r="F10" s="6" t="n"/>
      <c r="G10" s="6" t="n"/>
      <c r="H10" s="6" t="n"/>
      <c r="I10" s="6" t="n"/>
      <c r="J10" s="6" t="n"/>
      <c r="K10" s="6" t="n"/>
      <c r="L10" s="6" t="n"/>
      <c r="M10" s="6" t="n"/>
      <c r="N10" s="6" t="n"/>
      <c r="O10" s="6" t="n"/>
      <c r="P10" s="6" t="n"/>
      <c r="Q10" s="6" t="n"/>
      <c r="R10" s="6" t="n"/>
      <c r="S10" s="6" t="n"/>
      <c r="T10" s="6" t="n"/>
      <c r="U10" s="6" t="n"/>
      <c r="V10" s="6" t="n"/>
      <c r="W10" s="6" t="n"/>
      <c r="X10" s="6" t="n"/>
      <c r="Y10" s="6" t="n"/>
      <c r="Z10" s="6" t="n"/>
    </row>
    <row r="11">
      <c r="A11" s="4" t="inlineStr">
        <is>
          <t>Ә04</t>
        </is>
      </c>
      <c r="B11" s="5" t="inlineStr">
        <is>
          <t>Ата-аналар (30–55 жас)</t>
        </is>
      </c>
      <c r="C11" s="6" t="n"/>
      <c r="D11" s="6" t="n"/>
      <c r="E11" s="6" t="n"/>
      <c r="F11" s="6" t="n"/>
      <c r="G11" s="6" t="n"/>
      <c r="H11" s="6" t="n"/>
      <c r="I11" s="6" t="n"/>
      <c r="J11" s="6" t="n"/>
      <c r="K11" s="6" t="n"/>
      <c r="L11" s="6" t="n"/>
      <c r="M11" s="6" t="n"/>
      <c r="N11" s="6" t="n"/>
      <c r="O11" s="6" t="n"/>
      <c r="P11" s="6" t="n"/>
      <c r="Q11" s="6" t="n"/>
      <c r="R11" s="6" t="n"/>
      <c r="S11" s="6" t="n"/>
      <c r="T11" s="6" t="n"/>
      <c r="U11" s="6" t="n"/>
      <c r="V11" s="6" t="n"/>
      <c r="W11" s="6" t="n"/>
      <c r="X11" s="6" t="n"/>
      <c r="Y11" s="6" t="n"/>
      <c r="Z11" s="6" t="n"/>
    </row>
    <row r="12">
      <c r="A12" s="4" t="inlineStr">
        <is>
          <t>Ә05</t>
        </is>
      </c>
      <c r="B12" s="5" t="inlineStr">
        <is>
          <t>Ата-аналар (30–55 жас)</t>
        </is>
      </c>
      <c r="C12" s="6" t="n"/>
      <c r="D12" s="6" t="n"/>
      <c r="E12" s="6" t="n"/>
      <c r="F12" s="6" t="n"/>
      <c r="G12" s="6" t="n"/>
      <c r="H12" s="6" t="n"/>
      <c r="I12" s="6" t="n"/>
      <c r="J12" s="6" t="n"/>
      <c r="K12" s="6" t="n"/>
      <c r="L12" s="6" t="n"/>
      <c r="M12" s="6" t="n"/>
      <c r="N12" s="6" t="n"/>
      <c r="O12" s="6" t="n"/>
      <c r="P12" s="6" t="n"/>
      <c r="Q12" s="6" t="n"/>
      <c r="R12" s="6" t="n"/>
      <c r="S12" s="6" t="n"/>
      <c r="T12" s="6" t="n"/>
      <c r="U12" s="6" t="n"/>
      <c r="V12" s="6" t="n"/>
      <c r="W12" s="6" t="n"/>
      <c r="X12" s="6" t="n"/>
      <c r="Y12" s="6" t="n"/>
      <c r="Z12" s="6" t="n"/>
    </row>
    <row r="13">
      <c r="A13" s="4" t="inlineStr">
        <is>
          <t>Ә06</t>
        </is>
      </c>
      <c r="B13" s="5" t="inlineStr">
        <is>
          <t>Ата-аналар (30–55 жас)</t>
        </is>
      </c>
      <c r="C13" s="6" t="n"/>
      <c r="D13" s="6" t="n"/>
      <c r="E13" s="6" t="n"/>
      <c r="F13" s="6" t="n"/>
      <c r="G13" s="6" t="n"/>
      <c r="H13" s="6" t="n"/>
      <c r="I13" s="6" t="n"/>
      <c r="J13" s="6" t="n"/>
      <c r="K13" s="6" t="n"/>
      <c r="L13" s="6" t="n"/>
      <c r="M13" s="6" t="n"/>
      <c r="N13" s="6" t="n"/>
      <c r="O13" s="6" t="n"/>
      <c r="P13" s="6" t="n"/>
      <c r="Q13" s="6" t="n"/>
      <c r="R13" s="6" t="n"/>
      <c r="S13" s="6" t="n"/>
      <c r="T13" s="6" t="n"/>
      <c r="U13" s="6" t="n"/>
      <c r="V13" s="6" t="n"/>
      <c r="W13" s="6" t="n"/>
      <c r="X13" s="6" t="n"/>
      <c r="Y13" s="6" t="n"/>
      <c r="Z13" s="6" t="n"/>
    </row>
    <row r="14">
      <c r="A14" s="4" t="inlineStr">
        <is>
          <t>Ү01</t>
        </is>
      </c>
      <c r="B14" s="5" t="inlineStr">
        <is>
          <t>Ата-әжелер (60 жастан асқан)</t>
        </is>
      </c>
      <c r="C14" s="6" t="n"/>
      <c r="D14" s="6" t="n"/>
      <c r="E14" s="6" t="n"/>
      <c r="F14" s="6" t="n"/>
      <c r="G14" s="6" t="n"/>
      <c r="H14" s="6" t="n"/>
      <c r="I14" s="6" t="n"/>
      <c r="J14" s="6" t="n"/>
      <c r="K14" s="6" t="n"/>
      <c r="L14" s="6" t="n"/>
      <c r="M14" s="6" t="n"/>
      <c r="N14" s="6" t="n"/>
      <c r="O14" s="6" t="n"/>
      <c r="P14" s="6" t="n"/>
      <c r="Q14" s="6" t="n"/>
      <c r="R14" s="6" t="n"/>
      <c r="S14" s="6" t="n"/>
      <c r="T14" s="6" t="n"/>
      <c r="U14" s="6" t="n"/>
      <c r="V14" s="6" t="n"/>
      <c r="W14" s="6" t="n"/>
      <c r="X14" s="6" t="n"/>
      <c r="Y14" s="6" t="n"/>
      <c r="Z14" s="6" t="n"/>
    </row>
    <row r="15">
      <c r="A15" s="4" t="inlineStr">
        <is>
          <t>Ү02</t>
        </is>
      </c>
      <c r="B15" s="5" t="inlineStr">
        <is>
          <t>Ата-әжелер (60 жастан асқан)</t>
        </is>
      </c>
      <c r="C15" s="6" t="n"/>
      <c r="D15" s="6" t="n"/>
      <c r="E15" s="6" t="n"/>
      <c r="F15" s="6" t="n"/>
      <c r="G15" s="6" t="n"/>
      <c r="H15" s="6" t="n"/>
      <c r="I15" s="6" t="n"/>
      <c r="J15" s="6" t="n"/>
      <c r="K15" s="6" t="n"/>
      <c r="L15" s="6" t="n"/>
      <c r="M15" s="6" t="n"/>
      <c r="N15" s="6" t="n"/>
      <c r="O15" s="6" t="n"/>
      <c r="P15" s="6" t="n"/>
      <c r="Q15" s="6" t="n"/>
      <c r="R15" s="6" t="n"/>
      <c r="S15" s="6" t="n"/>
      <c r="T15" s="6" t="n"/>
      <c r="U15" s="6" t="n"/>
      <c r="V15" s="6" t="n"/>
      <c r="W15" s="6" t="n"/>
      <c r="X15" s="6" t="n"/>
      <c r="Y15" s="6" t="n"/>
      <c r="Z15" s="6" t="n"/>
    </row>
    <row r="16">
      <c r="A16" s="4" t="inlineStr">
        <is>
          <t>Ү03</t>
        </is>
      </c>
      <c r="B16" s="5" t="inlineStr">
        <is>
          <t>Ата-әжелер (60 жастан асқан)</t>
        </is>
      </c>
      <c r="C16" s="6" t="n"/>
      <c r="D16" s="6" t="n"/>
      <c r="E16" s="6" t="n"/>
      <c r="F16" s="6" t="n"/>
      <c r="G16" s="6" t="n"/>
      <c r="H16" s="6" t="n"/>
      <c r="I16" s="6" t="n"/>
      <c r="J16" s="6" t="n"/>
      <c r="K16" s="6" t="n"/>
      <c r="L16" s="6" t="n"/>
      <c r="M16" s="6" t="n"/>
      <c r="N16" s="6" t="n"/>
      <c r="O16" s="6" t="n"/>
      <c r="P16" s="6" t="n"/>
      <c r="Q16" s="6" t="n"/>
      <c r="R16" s="6" t="n"/>
      <c r="S16" s="6" t="n"/>
      <c r="T16" s="6" t="n"/>
      <c r="U16" s="6" t="n"/>
      <c r="V16" s="6" t="n"/>
      <c r="W16" s="6" t="n"/>
      <c r="X16" s="6" t="n"/>
      <c r="Y16" s="6" t="n"/>
      <c r="Z16" s="6" t="n"/>
    </row>
    <row r="17">
      <c r="A17" s="4" t="inlineStr">
        <is>
          <t>Ү04</t>
        </is>
      </c>
      <c r="B17" s="5" t="inlineStr">
        <is>
          <t>Ата-әжелер (60 жастан асқан)</t>
        </is>
      </c>
      <c r="C17" s="6" t="n"/>
      <c r="D17" s="6" t="n"/>
      <c r="E17" s="6" t="n"/>
      <c r="F17" s="6" t="n"/>
      <c r="G17" s="6" t="n"/>
      <c r="H17" s="6" t="n"/>
      <c r="I17" s="6" t="n"/>
      <c r="J17" s="6" t="n"/>
      <c r="K17" s="6" t="n"/>
      <c r="L17" s="6" t="n"/>
      <c r="M17" s="6" t="n"/>
      <c r="N17" s="6" t="n"/>
      <c r="O17" s="6" t="n"/>
      <c r="P17" s="6" t="n"/>
      <c r="Q17" s="6" t="n"/>
      <c r="R17" s="6" t="n"/>
      <c r="S17" s="6" t="n"/>
      <c r="T17" s="6" t="n"/>
      <c r="U17" s="6" t="n"/>
      <c r="V17" s="6" t="n"/>
      <c r="W17" s="6" t="n"/>
      <c r="X17" s="6" t="n"/>
      <c r="Y17" s="6" t="n"/>
      <c r="Z17" s="6" t="n"/>
    </row>
    <row r="18">
      <c r="A18" s="4" t="inlineStr">
        <is>
          <t>Ү05</t>
        </is>
      </c>
      <c r="B18" s="5" t="inlineStr">
        <is>
          <t>Ата-әжелер (60 жастан асқан)</t>
        </is>
      </c>
      <c r="C18" s="6" t="n"/>
      <c r="D18" s="6" t="n"/>
      <c r="E18" s="6" t="n"/>
      <c r="F18" s="6" t="n"/>
      <c r="G18" s="6" t="n"/>
      <c r="H18" s="6" t="n"/>
      <c r="I18" s="6" t="n"/>
      <c r="J18" s="6" t="n"/>
      <c r="K18" s="6" t="n"/>
      <c r="L18" s="6" t="n"/>
      <c r="M18" s="6" t="n"/>
      <c r="N18" s="6" t="n"/>
      <c r="O18" s="6" t="n"/>
      <c r="P18" s="6" t="n"/>
      <c r="Q18" s="6" t="n"/>
      <c r="R18" s="6" t="n"/>
      <c r="S18" s="6" t="n"/>
      <c r="T18" s="6" t="n"/>
      <c r="U18" s="6" t="n"/>
      <c r="V18" s="6" t="n"/>
      <c r="W18" s="6" t="n"/>
      <c r="X18" s="6" t="n"/>
      <c r="Y18" s="6" t="n"/>
      <c r="Z18" s="6" t="n"/>
    </row>
    <row r="19">
      <c r="A19" s="4" t="inlineStr">
        <is>
          <t>Ү06</t>
        </is>
      </c>
      <c r="B19" s="5" t="inlineStr">
        <is>
          <t>Ата-әжелер (60 жастан асқан)</t>
        </is>
      </c>
      <c r="C19" s="6" t="n"/>
      <c r="D19" s="6" t="n"/>
      <c r="E19" s="6" t="n"/>
      <c r="F19" s="6" t="n"/>
      <c r="G19" s="6" t="n"/>
      <c r="H19" s="6" t="n"/>
      <c r="I19" s="6" t="n"/>
      <c r="J19" s="6" t="n"/>
      <c r="K19" s="6" t="n"/>
      <c r="L19" s="6" t="n"/>
      <c r="M19" s="6" t="n"/>
      <c r="N19" s="6" t="n"/>
      <c r="O19" s="6" t="n"/>
      <c r="P19" s="6" t="n"/>
      <c r="Q19" s="6" t="n"/>
      <c r="R19" s="6" t="n"/>
      <c r="S19" s="6" t="n"/>
      <c r="T19" s="6" t="n"/>
      <c r="U19" s="6" t="n"/>
      <c r="V19" s="6" t="n"/>
      <c r="W19" s="6" t="n"/>
      <c r="X19" s="6" t="n"/>
      <c r="Y19" s="6" t="n"/>
      <c r="Z19" s="6" t="n"/>
    </row>
  </sheetData>
  <dataValidations count="2">
    <dataValidation sqref="C2 C3 C4 C5 C6 C7 C8 C9 C10 C11 C12 C13 C14 C15 C16 C17 C18 C19 E2 E3 E4 E5 E6 E7 E8 E9 E10 E11 E12 E13 E14 E15 E16 E17 E18 E19 G2 G3 G4 G5 G6 G7 G8 G9 G10 G11 G12 G13 G14 G15 G16 G17 G18 G19 I2 I3 I4 I5 I6 I7 I8 I9 I10 I11 I12 I13 I14 I15 I16 I17 I18 I19 K2 K3 K4 K5 K6 K7 K8 K9 K10 K11 K12 K13 K14 K15 K16 K17 K18 K19 M2 M3 M4 M5 M6 M7 M8 M9 M10 M11 M12 M13 M14 M15 M16 M17 M18 M19 O2 O3 O4 O5 O6 O7 O8 O9 O10 O11 O12 O13 O14 O15 O16 O17 O18 O19 Q2 Q3 Q4 Q5 Q6 Q7 Q8 Q9 Q10 Q11 Q12 Q13 Q14 Q15 Q16 Q17 Q18 Q19 S2 S3 S4 S5 S6 S7 S8 S9 S10 S11 S12 S13 S14 S15 S16 S17 S18 S19 U2 U3 U4 U5 U6 U7 U8 U9 U10 U11 U12 U13 U14 U15 U16 U17 U18 U19 W2 W3 W4 W5 W6 W7 W8 W9 W10 W11 W12 W13 W14 W15 W16 W17 W18 W19 Y2 Y3 Y4 Y5 Y6 Y7 Y8 Y9 Y10 Y11 Y12 Y13 Y14 Y15 Y16 Y17 Y18 Y19" showDropDown="0" showInputMessage="0" showErrorMessage="0" allowBlank="1" type="list">
      <formula1>"0,1,2"</formula1>
    </dataValidation>
    <dataValidation sqref="D2 D3 D4 D5 D6 D7 D8 D9 D10 D11 D12 D13 D14 D15 D16 D17 D18 D19 F2 F3 F4 F5 F6 F7 F8 F9 F10 F11 F12 F13 F14 F15 F16 F17 F18 F19 H2 H3 H4 H5 H6 H7 H8 H9 H10 H11 H12 H13 H14 H15 H16 H17 H18 H19 J2 J3 J4 J5 J6 J7 J8 J9 J10 J11 J12 J13 J14 J15 J16 J17 J18 J19 L2 L3 L4 L5 L6 L7 L8 L9 L10 L11 L12 L13 L14 L15 L16 L17 L18 L19 N2 N3 N4 N5 N6 N7 N8 N9 N10 N11 N12 N13 N14 N15 N16 N17 N18 N19 P2 P3 P4 P5 P6 P7 P8 P9 P10 P11 P12 P13 P14 P15 P16 P17 P18 P19 R2 R3 R4 R5 R6 R7 R8 R9 R10 R11 R12 R13 R14 R15 R16 R17 R18 R19 T2 T3 T4 T5 T6 T7 T8 T9 T10 T11 T12 T13 T14 T15 T16 T17 T18 T19 V2 V3 V4 V5 V6 V7 V8 V9 V10 V11 V12 V13 V14 V15 V16 V17 V18 V19 X2 X3 X4 X5 X6 X7 X8 X9 X10 X11 X12 X13 X14 X15 X16 X17 X18 X19 Z2 Z3 Z4 Z5 Z6 Z7 Z8 Z9 Z10 Z11 Z12 Z13 Z14 Z15 Z16 Z17 Z18 Z19" showDropDown="0" showInputMessage="0" showErrorMessage="0" allowBlank="1" type="list">
      <formula1>"0,1"</formula1>
    </dataValidation>
  </dataValidations>
  <pageMargins left="0.75" right="0.75" top="1" bottom="1" header="0.5" footer="0.5"/>
  <pageSetup orientation="landscape" paperSize="9" fitToHeight="0" fitToWidth="1"/>
</worksheet>
</file>

<file path=xl/worksheets/sheet6.xml><?xml version="1.0" encoding="utf-8"?>
<worksheet xmlns="http://schemas.openxmlformats.org/spreadsheetml/2006/main">
  <sheetPr>
    <outlinePr summaryBelow="1" summaryRight="1"/>
    <pageSetUpPr fitToPage="1"/>
  </sheetPr>
  <dimension ref="A1:F33"/>
  <sheetViews>
    <sheetView workbookViewId="0">
      <selection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s>
  <sheetData>
    <row r="1">
      <c r="A1" s="9" t="inlineStr">
        <is>
          <t>Сөздердің мәртебесі тақырыптық топтар бойынша</t>
        </is>
      </c>
    </row>
    <row r="2" ht="45" customHeight="1">
      <c r="A2" s="3" t="inlineStr">
        <is>
          <t>Топ</t>
        </is>
      </c>
      <c r="B2" s="3" t="inlineStr">
        <is>
          <t>Қайта жанданған</t>
        </is>
      </c>
      <c r="C2" s="3" t="inlineStr">
        <is>
          <t>Атауда сақталған</t>
        </is>
      </c>
      <c r="D2" s="3" t="inlineStr">
        <is>
          <t>Тарихи мәтінде ғана</t>
        </is>
      </c>
      <c r="E2" s="3" t="inlineStr">
        <is>
          <t>Ұмыт болып барады</t>
        </is>
      </c>
      <c r="F2" s="3" t="inlineStr">
        <is>
          <t>Барлығы</t>
        </is>
      </c>
    </row>
    <row r="3">
      <c r="A3" s="5" t="inlineStr">
        <is>
          <t>Әскери іс және қару-жарақ</t>
        </is>
      </c>
      <c r="B3" s="4">
        <f>('БАҚ мониторингі'!K2="Ж")+('БАҚ мониторингі'!K3="Ж")+('БАҚ мониторингі'!K4="Ж")+('БАҚ мониторингі'!K5="Ж")+('БАҚ мониторингі'!K6="Ж")+('БАҚ мониторингі'!K7="Ж")</f>
        <v/>
      </c>
      <c r="C3" s="4">
        <f>('БАҚ мониторингі'!K2="А")+('БАҚ мониторингі'!K3="А")+('БАҚ мониторингі'!K4="А")+('БАҚ мониторингі'!K5="А")+('БАҚ мониторингі'!K6="А")+('БАҚ мониторингі'!K7="А")</f>
        <v/>
      </c>
      <c r="D3" s="4">
        <f>('БАҚ мониторингі'!K2="Т")+('БАҚ мониторингі'!K3="Т")+('БАҚ мониторингі'!K4="Т")+('БАҚ мониторингі'!K5="Т")+('БАҚ мониторингі'!K6="Т")+('БАҚ мониторингі'!K7="Т")</f>
        <v/>
      </c>
      <c r="E3" s="4">
        <f>('БАҚ мониторингі'!K2="Ұ")+('БАҚ мониторингі'!K3="Ұ")+('БАҚ мониторингі'!K4="Ұ")+('БАҚ мониторингі'!K5="Ұ")+('БАҚ мониторингі'!K6="Ұ")+('БАҚ мониторингі'!K7="Ұ")</f>
        <v/>
      </c>
      <c r="F3" s="4">
        <f>SUM(B3:E3)</f>
        <v/>
      </c>
    </row>
    <row r="4">
      <c r="A4" s="5" t="inlineStr">
        <is>
          <t>Билік және басқару</t>
        </is>
      </c>
      <c r="B4" s="4">
        <f>('БАҚ мониторингі'!K8="Ж")+('БАҚ мониторингі'!K9="Ж")+('БАҚ мониторингі'!K10="Ж")+('БАҚ мониторингі'!K11="Ж")+('БАҚ мониторингі'!K12="Ж")+('БАҚ мониторингі'!K13="Ж")</f>
        <v/>
      </c>
      <c r="C4" s="4">
        <f>('БАҚ мониторингі'!K8="А")+('БАҚ мониторингі'!K9="А")+('БАҚ мониторингі'!K10="А")+('БАҚ мониторингі'!K11="А")+('БАҚ мониторингі'!K12="А")+('БАҚ мониторингі'!K13="А")</f>
        <v/>
      </c>
      <c r="D4" s="4">
        <f>('БАҚ мониторингі'!K8="Т")+('БАҚ мониторингі'!K9="Т")+('БАҚ мониторингі'!K10="Т")+('БАҚ мониторингі'!K11="Т")+('БАҚ мониторингі'!K12="Т")+('БАҚ мониторингі'!K13="Т")</f>
        <v/>
      </c>
      <c r="E4" s="4">
        <f>('БАҚ мониторингі'!K8="Ұ")+('БАҚ мониторингі'!K9="Ұ")+('БАҚ мониторингі'!K10="Ұ")+('БАҚ мониторингі'!K11="Ұ")+('БАҚ мониторингі'!K12="Ұ")+('БАҚ мониторингі'!K13="Ұ")</f>
        <v/>
      </c>
      <c r="F4" s="4">
        <f>SUM(B4:E4)</f>
        <v/>
      </c>
    </row>
    <row r="5">
      <c r="A5" s="5" t="inlineStr">
        <is>
          <t>Қоғам, заң, құжат</t>
        </is>
      </c>
      <c r="B5" s="4">
        <f>('БАҚ мониторингі'!K14="Ж")+('БАҚ мониторингі'!K15="Ж")+('БАҚ мониторингі'!K16="Ж")+('БАҚ мониторингі'!K17="Ж")+('БАҚ мониторингі'!K18="Ж")+('БАҚ мониторингі'!K19="Ж")</f>
        <v/>
      </c>
      <c r="C5" s="4">
        <f>('БАҚ мониторингі'!K14="А")+('БАҚ мониторингі'!K15="А")+('БАҚ мониторингі'!K16="А")+('БАҚ мониторингі'!K17="А")+('БАҚ мониторингі'!K18="А")+('БАҚ мониторингі'!K19="А")</f>
        <v/>
      </c>
      <c r="D5" s="4">
        <f>('БАҚ мониторингі'!K14="Т")+('БАҚ мониторингі'!K15="Т")+('БАҚ мониторингі'!K16="Т")+('БАҚ мониторингі'!K17="Т")+('БАҚ мониторингі'!K18="Т")+('БАҚ мониторингі'!K19="Т")</f>
        <v/>
      </c>
      <c r="E5" s="4">
        <f>('БАҚ мониторингі'!K14="Ұ")+('БАҚ мониторингі'!K15="Ұ")+('БАҚ мониторингі'!K16="Ұ")+('БАҚ мониторингі'!K17="Ұ")+('БАҚ мониторингі'!K18="Ұ")+('БАҚ мониторингі'!K19="Ұ")</f>
        <v/>
      </c>
      <c r="F5" s="4">
        <f>SUM(B5:E5)</f>
        <v/>
      </c>
    </row>
    <row r="6">
      <c r="A6" s="5" t="inlineStr">
        <is>
          <t>Өлшем және ақша</t>
        </is>
      </c>
      <c r="B6" s="4">
        <f>('БАҚ мониторингі'!K20="Ж")+('БАҚ мониторингі'!K21="Ж")+('БАҚ мониторингі'!K22="Ж")+('БАҚ мониторингі'!K23="Ж")+('БАҚ мониторингі'!K24="Ж")+('БАҚ мониторингі'!K25="Ж")</f>
        <v/>
      </c>
      <c r="C6" s="4">
        <f>('БАҚ мониторингі'!K20="А")+('БАҚ мониторингі'!K21="А")+('БАҚ мониторингі'!K22="А")+('БАҚ мониторингі'!K23="А")+('БАҚ мониторингі'!K24="А")+('БАҚ мониторингі'!K25="А")</f>
        <v/>
      </c>
      <c r="D6" s="4">
        <f>('БАҚ мониторингі'!K20="Т")+('БАҚ мониторингі'!K21="Т")+('БАҚ мониторингі'!K22="Т")+('БАҚ мониторингі'!K23="Т")+('БАҚ мониторингі'!K24="Т")+('БАҚ мониторингі'!K25="Т")</f>
        <v/>
      </c>
      <c r="E6" s="4">
        <f>('БАҚ мониторингі'!K20="Ұ")+('БАҚ мониторингі'!K21="Ұ")+('БАҚ мониторингі'!K22="Ұ")+('БАҚ мониторингі'!K23="Ұ")+('БАҚ мониторингі'!K24="Ұ")+('БАҚ мониторингі'!K25="Ұ")</f>
        <v/>
      </c>
      <c r="F6" s="4">
        <f>SUM(B6:E6)</f>
        <v/>
      </c>
    </row>
    <row r="7">
      <c r="A7" s="5" t="inlineStr">
        <is>
          <t>Киім және тұрмыс</t>
        </is>
      </c>
      <c r="B7" s="4">
        <f>('БАҚ мониторингі'!K26="Ж")+('БАҚ мониторингі'!K27="Ж")+('БАҚ мониторингі'!K28="Ж")+('БАҚ мониторингі'!K29="Ж")+('БАҚ мониторингі'!K30="Ж")+('БАҚ мониторингі'!K31="Ж")</f>
        <v/>
      </c>
      <c r="C7" s="4">
        <f>('БАҚ мониторингі'!K26="А")+('БАҚ мониторингі'!K27="А")+('БАҚ мониторингі'!K28="А")+('БАҚ мониторингі'!K29="А")+('БАҚ мониторингі'!K30="А")+('БАҚ мониторингі'!K31="А")</f>
        <v/>
      </c>
      <c r="D7" s="4">
        <f>('БАҚ мониторингі'!K26="Т")+('БАҚ мониторингі'!K27="Т")+('БАҚ мониторингі'!K28="Т")+('БАҚ мониторингі'!K29="Т")+('БАҚ мониторингі'!K30="Т")+('БАҚ мониторингі'!K31="Т")</f>
        <v/>
      </c>
      <c r="E7" s="4">
        <f>('БАҚ мониторингі'!K26="Ұ")+('БАҚ мониторингі'!K27="Ұ")+('БАҚ мониторингі'!K28="Ұ")+('БАҚ мониторингі'!K29="Ұ")+('БАҚ мониторингі'!K30="Ұ")+('БАҚ мониторингі'!K31="Ұ")</f>
        <v/>
      </c>
      <c r="F7" s="4">
        <f>SUM(B7:E7)</f>
        <v/>
      </c>
    </row>
    <row r="8">
      <c r="A8" s="5" t="inlineStr">
        <is>
          <t>Баламасы бар көне сөздер</t>
        </is>
      </c>
      <c r="B8" s="4">
        <f>('БАҚ мониторингі'!K32="Ж")+('БАҚ мониторингі'!K33="Ж")+('БАҚ мониторингі'!K34="Ж")+('БАҚ мониторингі'!K35="Ж")+('БАҚ мониторингі'!K36="Ж")+('БАҚ мониторингі'!K37="Ж")</f>
        <v/>
      </c>
      <c r="C8" s="4">
        <f>('БАҚ мониторингі'!K32="А")+('БАҚ мониторингі'!K33="А")+('БАҚ мониторингі'!K34="А")+('БАҚ мониторингі'!K35="А")+('БАҚ мониторингі'!K36="А")+('БАҚ мониторингі'!K37="А")</f>
        <v/>
      </c>
      <c r="D8" s="4">
        <f>('БАҚ мониторингі'!K32="Т")+('БАҚ мониторингі'!K33="Т")+('БАҚ мониторингі'!K34="Т")+('БАҚ мониторингі'!K35="Т")+('БАҚ мониторингі'!K36="Т")+('БАҚ мониторингі'!K37="Т")</f>
        <v/>
      </c>
      <c r="E8" s="4">
        <f>('БАҚ мониторингі'!K32="Ұ")+('БАҚ мониторингі'!K33="Ұ")+('БАҚ мониторингі'!K34="Ұ")+('БАҚ мониторингі'!K35="Ұ")+('БАҚ мониторингі'!K36="Ұ")+('БАҚ мониторингі'!K37="Ұ")</f>
        <v/>
      </c>
      <c r="F8" s="4">
        <f>SUM(B8:E8)</f>
        <v/>
      </c>
    </row>
    <row r="9">
      <c r="A9" s="10" t="inlineStr">
        <is>
          <t>Барлығы</t>
        </is>
      </c>
      <c r="B9" s="4">
        <f>SUM(B3:B8)</f>
        <v/>
      </c>
      <c r="C9" s="4">
        <f>SUM(C3:C8)</f>
        <v/>
      </c>
      <c r="D9" s="4">
        <f>SUM(D3:D8)</f>
        <v/>
      </c>
      <c r="E9" s="4">
        <f>SUM(E3:E8)</f>
        <v/>
      </c>
      <c r="F9" s="4">
        <f>SUM(F3:F8)</f>
        <v/>
      </c>
    </row>
    <row r="11">
      <c r="A11" s="9" t="inlineStr">
        <is>
          <t>Үш буын тесті: мағынасын дұрыс түсіндіргендер үлесі, %</t>
        </is>
      </c>
    </row>
    <row r="12" ht="45" customHeight="1">
      <c r="A12" s="3" t="inlineStr">
        <is>
          <t>Сөз</t>
        </is>
      </c>
      <c r="B12" s="3" t="inlineStr">
        <is>
          <t>Оқушылар (11–14 жас)</t>
        </is>
      </c>
      <c r="C12" s="3" t="inlineStr">
        <is>
          <t>Ата-аналар (30–55 жас)</t>
        </is>
      </c>
      <c r="D12" s="3" t="inlineStr">
        <is>
          <t>Ата-әжелер (60 жастан асқан)</t>
        </is>
      </c>
    </row>
    <row r="13">
      <c r="A13" s="5" t="inlineStr">
        <is>
          <t>сауыт</t>
        </is>
      </c>
      <c r="B13" s="4">
        <f>IFERROR(ROUND(COUNTIFS(Тест!$A$2:$A$19,"О*",Тест!$C$2:$C$19,2)/COUNTIFS(Тест!$A$2:$A$19,"О*",Тест!$C$2:$C$19,"&lt;&gt;")*100,1),"")</f>
        <v/>
      </c>
      <c r="C13" s="4">
        <f>IFERROR(ROUND(COUNTIFS(Тест!$A$2:$A$19,"Ә*",Тест!$C$2:$C$19,2)/COUNTIFS(Тест!$A$2:$A$19,"Ә*",Тест!$C$2:$C$19,"&lt;&gt;")*100,1),"")</f>
        <v/>
      </c>
      <c r="D13" s="4">
        <f>IFERROR(ROUND(COUNTIFS(Тест!$A$2:$A$19,"Ү*",Тест!$C$2:$C$19,2)/COUNTIFS(Тест!$A$2:$A$19,"Ү*",Тест!$C$2:$C$19,"&lt;&gt;")*100,1),"")</f>
        <v/>
      </c>
    </row>
    <row r="14">
      <c r="A14" s="5" t="inlineStr">
        <is>
          <t>сарбаз</t>
        </is>
      </c>
      <c r="B14" s="4">
        <f>IFERROR(ROUND(COUNTIFS(Тест!$A$2:$A$19,"О*",Тест!$E$2:$E$19,2)/COUNTIFS(Тест!$A$2:$A$19,"О*",Тест!$E$2:$E$19,"&lt;&gt;")*100,1),"")</f>
        <v/>
      </c>
      <c r="C14" s="4">
        <f>IFERROR(ROUND(COUNTIFS(Тест!$A$2:$A$19,"Ә*",Тест!$E$2:$E$19,2)/COUNTIFS(Тест!$A$2:$A$19,"Ә*",Тест!$E$2:$E$19,"&lt;&gt;")*100,1),"")</f>
        <v/>
      </c>
      <c r="D14" s="4">
        <f>IFERROR(ROUND(COUNTIFS(Тест!$A$2:$A$19,"Ү*",Тест!$E$2:$E$19,2)/COUNTIFS(Тест!$A$2:$A$19,"Ү*",Тест!$E$2:$E$19,"&lt;&gt;")*100,1),"")</f>
        <v/>
      </c>
    </row>
    <row r="15">
      <c r="A15" s="5" t="inlineStr">
        <is>
          <t>болыс</t>
        </is>
      </c>
      <c r="B15" s="4">
        <f>IFERROR(ROUND(COUNTIFS(Тест!$A$2:$A$19,"О*",Тест!$G$2:$G$19,2)/COUNTIFS(Тест!$A$2:$A$19,"О*",Тест!$G$2:$G$19,"&lt;&gt;")*100,1),"")</f>
        <v/>
      </c>
      <c r="C15" s="4">
        <f>IFERROR(ROUND(COUNTIFS(Тест!$A$2:$A$19,"Ә*",Тест!$G$2:$G$19,2)/COUNTIFS(Тест!$A$2:$A$19,"Ә*",Тест!$G$2:$G$19,"&lt;&gt;")*100,1),"")</f>
        <v/>
      </c>
      <c r="D15" s="4">
        <f>IFERROR(ROUND(COUNTIFS(Тест!$A$2:$A$19,"Ү*",Тест!$G$2:$G$19,2)/COUNTIFS(Тест!$A$2:$A$19,"Ү*",Тест!$G$2:$G$19,"&lt;&gt;")*100,1),"")</f>
        <v/>
      </c>
    </row>
    <row r="16">
      <c r="A16" s="5" t="inlineStr">
        <is>
          <t>әкім</t>
        </is>
      </c>
      <c r="B16" s="4">
        <f>IFERROR(ROUND(COUNTIFS(Тест!$A$2:$A$19,"О*",Тест!$I$2:$I$19,2)/COUNTIFS(Тест!$A$2:$A$19,"О*",Тест!$I$2:$I$19,"&lt;&gt;")*100,1),"")</f>
        <v/>
      </c>
      <c r="C16" s="4">
        <f>IFERROR(ROUND(COUNTIFS(Тест!$A$2:$A$19,"Ә*",Тест!$I$2:$I$19,2)/COUNTIFS(Тест!$A$2:$A$19,"Ә*",Тест!$I$2:$I$19,"&lt;&gt;")*100,1),"")</f>
        <v/>
      </c>
      <c r="D16" s="4">
        <f>IFERROR(ROUND(COUNTIFS(Тест!$A$2:$A$19,"Ү*",Тест!$I$2:$I$19,2)/COUNTIFS(Тест!$A$2:$A$19,"Ү*",Тест!$I$2:$I$19,"&lt;&gt;")*100,1),"")</f>
        <v/>
      </c>
    </row>
    <row r="17">
      <c r="A17" s="5" t="inlineStr">
        <is>
          <t>жарлық</t>
        </is>
      </c>
      <c r="B17" s="4">
        <f>IFERROR(ROUND(COUNTIFS(Тест!$A$2:$A$19,"О*",Тест!$K$2:$K$19,2)/COUNTIFS(Тест!$A$2:$A$19,"О*",Тест!$K$2:$K$19,"&lt;&gt;")*100,1),"")</f>
        <v/>
      </c>
      <c r="C17" s="4">
        <f>IFERROR(ROUND(COUNTIFS(Тест!$A$2:$A$19,"Ә*",Тест!$K$2:$K$19,2)/COUNTIFS(Тест!$A$2:$A$19,"Ә*",Тест!$K$2:$K$19,"&lt;&gt;")*100,1),"")</f>
        <v/>
      </c>
      <c r="D17" s="4">
        <f>IFERROR(ROUND(COUNTIFS(Тест!$A$2:$A$19,"Ү*",Тест!$K$2:$K$19,2)/COUNTIFS(Тест!$A$2:$A$19,"Ү*",Тест!$K$2:$K$19,"&lt;&gt;")*100,1),"")</f>
        <v/>
      </c>
    </row>
    <row r="18">
      <c r="A18" s="5" t="inlineStr">
        <is>
          <t>пәрмен</t>
        </is>
      </c>
      <c r="B18" s="4">
        <f>IFERROR(ROUND(COUNTIFS(Тест!$A$2:$A$19,"О*",Тест!$M$2:$M$19,2)/COUNTIFS(Тест!$A$2:$A$19,"О*",Тест!$M$2:$M$19,"&lt;&gt;")*100,1),"")</f>
        <v/>
      </c>
      <c r="C18" s="4">
        <f>IFERROR(ROUND(COUNTIFS(Тест!$A$2:$A$19,"Ә*",Тест!$M$2:$M$19,2)/COUNTIFS(Тест!$A$2:$A$19,"Ә*",Тест!$M$2:$M$19,"&lt;&gt;")*100,1),"")</f>
        <v/>
      </c>
      <c r="D18" s="4">
        <f>IFERROR(ROUND(COUNTIFS(Тест!$A$2:$A$19,"Ү*",Тест!$M$2:$M$19,2)/COUNTIFS(Тест!$A$2:$A$19,"Ү*",Тест!$M$2:$M$19,"&lt;&gt;")*100,1),"")</f>
        <v/>
      </c>
    </row>
    <row r="19">
      <c r="A19" s="5" t="inlineStr">
        <is>
          <t>батпан</t>
        </is>
      </c>
      <c r="B19" s="4">
        <f>IFERROR(ROUND(COUNTIFS(Тест!$A$2:$A$19,"О*",Тест!$O$2:$O$19,2)/COUNTIFS(Тест!$A$2:$A$19,"О*",Тест!$O$2:$O$19,"&lt;&gt;")*100,1),"")</f>
        <v/>
      </c>
      <c r="C19" s="4">
        <f>IFERROR(ROUND(COUNTIFS(Тест!$A$2:$A$19,"Ә*",Тест!$O$2:$O$19,2)/COUNTIFS(Тест!$A$2:$A$19,"Ә*",Тест!$O$2:$O$19,"&lt;&gt;")*100,1),"")</f>
        <v/>
      </c>
      <c r="D19" s="4">
        <f>IFERROR(ROUND(COUNTIFS(Тест!$A$2:$A$19,"Ү*",Тест!$O$2:$O$19,2)/COUNTIFS(Тест!$A$2:$A$19,"Ү*",Тест!$O$2:$O$19,"&lt;&gt;")*100,1),"")</f>
        <v/>
      </c>
    </row>
    <row r="20">
      <c r="A20" s="5" t="inlineStr">
        <is>
          <t>тиын</t>
        </is>
      </c>
      <c r="B20" s="4">
        <f>IFERROR(ROUND(COUNTIFS(Тест!$A$2:$A$19,"О*",Тест!$Q$2:$Q$19,2)/COUNTIFS(Тест!$A$2:$A$19,"О*",Тест!$Q$2:$Q$19,"&lt;&gt;")*100,1),"")</f>
        <v/>
      </c>
      <c r="C20" s="4">
        <f>IFERROR(ROUND(COUNTIFS(Тест!$A$2:$A$19,"Ә*",Тест!$Q$2:$Q$19,2)/COUNTIFS(Тест!$A$2:$A$19,"Ә*",Тест!$Q$2:$Q$19,"&lt;&gt;")*100,1),"")</f>
        <v/>
      </c>
      <c r="D20" s="4">
        <f>IFERROR(ROUND(COUNTIFS(Тест!$A$2:$A$19,"Ү*",Тест!$Q$2:$Q$19,2)/COUNTIFS(Тест!$A$2:$A$19,"Ү*",Тест!$Q$2:$Q$19,"&lt;&gt;")*100,1),"")</f>
        <v/>
      </c>
    </row>
    <row r="21">
      <c r="A21" s="5" t="inlineStr">
        <is>
          <t>кебенек</t>
        </is>
      </c>
      <c r="B21" s="4">
        <f>IFERROR(ROUND(COUNTIFS(Тест!$A$2:$A$19,"О*",Тест!$S$2:$S$19,2)/COUNTIFS(Тест!$A$2:$A$19,"О*",Тест!$S$2:$S$19,"&lt;&gt;")*100,1),"")</f>
        <v/>
      </c>
      <c r="C21" s="4">
        <f>IFERROR(ROUND(COUNTIFS(Тест!$A$2:$A$19,"Ә*",Тест!$S$2:$S$19,2)/COUNTIFS(Тест!$A$2:$A$19,"Ә*",Тест!$S$2:$S$19,"&lt;&gt;")*100,1),"")</f>
        <v/>
      </c>
      <c r="D21" s="4">
        <f>IFERROR(ROUND(COUNTIFS(Тест!$A$2:$A$19,"Ү*",Тест!$S$2:$S$19,2)/COUNTIFS(Тест!$A$2:$A$19,"Ү*",Тест!$S$2:$S$19,"&lt;&gt;")*100,1),"")</f>
        <v/>
      </c>
    </row>
    <row r="22">
      <c r="A22" s="5" t="inlineStr">
        <is>
          <t>сәукеле</t>
        </is>
      </c>
      <c r="B22" s="4">
        <f>IFERROR(ROUND(COUNTIFS(Тест!$A$2:$A$19,"О*",Тест!$U$2:$U$19,2)/COUNTIFS(Тест!$A$2:$A$19,"О*",Тест!$U$2:$U$19,"&lt;&gt;")*100,1),"")</f>
        <v/>
      </c>
      <c r="C22" s="4">
        <f>IFERROR(ROUND(COUNTIFS(Тест!$A$2:$A$19,"Ә*",Тест!$U$2:$U$19,2)/COUNTIFS(Тест!$A$2:$A$19,"Ә*",Тест!$U$2:$U$19,"&lt;&gt;")*100,1),"")</f>
        <v/>
      </c>
      <c r="D22" s="4">
        <f>IFERROR(ROUND(COUNTIFS(Тест!$A$2:$A$19,"Ү*",Тест!$U$2:$U$19,2)/COUNTIFS(Тест!$A$2:$A$19,"Ү*",Тест!$U$2:$U$19,"&lt;&gt;")*100,1),"")</f>
        <v/>
      </c>
    </row>
    <row r="23">
      <c r="A23" s="5" t="inlineStr">
        <is>
          <t>тамұқ</t>
        </is>
      </c>
      <c r="B23" s="4">
        <f>IFERROR(ROUND(COUNTIFS(Тест!$A$2:$A$19,"О*",Тест!$W$2:$W$19,2)/COUNTIFS(Тест!$A$2:$A$19,"О*",Тест!$W$2:$W$19,"&lt;&gt;")*100,1),"")</f>
        <v/>
      </c>
      <c r="C23" s="4">
        <f>IFERROR(ROUND(COUNTIFS(Тест!$A$2:$A$19,"Ә*",Тест!$W$2:$W$19,2)/COUNTIFS(Тест!$A$2:$A$19,"Ә*",Тест!$W$2:$W$19,"&lt;&gt;")*100,1),"")</f>
        <v/>
      </c>
      <c r="D23" s="4">
        <f>IFERROR(ROUND(COUNTIFS(Тест!$A$2:$A$19,"Ү*",Тест!$W$2:$W$19,2)/COUNTIFS(Тест!$A$2:$A$19,"Ү*",Тест!$W$2:$W$19,"&lt;&gt;")*100,1),"")</f>
        <v/>
      </c>
    </row>
    <row r="24">
      <c r="A24" s="5" t="inlineStr">
        <is>
          <t>тұлпар</t>
        </is>
      </c>
      <c r="B24" s="4">
        <f>IFERROR(ROUND(COUNTIFS(Тест!$A$2:$A$19,"О*",Тест!$Y$2:$Y$19,2)/COUNTIFS(Тест!$A$2:$A$19,"О*",Тест!$Y$2:$Y$19,"&lt;&gt;")*100,1),"")</f>
        <v/>
      </c>
      <c r="C24" s="4">
        <f>IFERROR(ROUND(COUNTIFS(Тест!$A$2:$A$19,"Ә*",Тест!$Y$2:$Y$19,2)/COUNTIFS(Тест!$A$2:$A$19,"Ә*",Тест!$Y$2:$Y$19,"&lt;&gt;")*100,1),"")</f>
        <v/>
      </c>
      <c r="D24" s="4">
        <f>IFERROR(ROUND(COUNTIFS(Тест!$A$2:$A$19,"Ү*",Тест!$Y$2:$Y$19,2)/COUNTIFS(Тест!$A$2:$A$19,"Ү*",Тест!$Y$2:$Y$19,"&lt;&gt;")*100,1),"")</f>
        <v/>
      </c>
    </row>
    <row r="26">
      <c r="A26" s="9" t="inlineStr">
        <is>
          <t>Лингвистикалық серуен: нысан түрлері</t>
        </is>
      </c>
    </row>
    <row r="27" ht="45" customHeight="1">
      <c r="A27" s="3" t="inlineStr">
        <is>
          <t>Нысан түрі</t>
        </is>
      </c>
      <c r="B27" s="3" t="inlineStr">
        <is>
          <t>Жазу саны</t>
        </is>
      </c>
    </row>
    <row r="28">
      <c r="A28" s="5" t="inlineStr">
        <is>
          <t>Дүкен, сауда орны</t>
        </is>
      </c>
      <c r="B28" s="4">
        <f>COUNTIF(Серуен!$C$2:$C$61,A28)</f>
        <v/>
      </c>
    </row>
    <row r="29">
      <c r="A29" s="5" t="inlineStr">
        <is>
          <t>Кафе, мейрамхана</t>
        </is>
      </c>
      <c r="B29" s="4">
        <f>COUNTIF(Серуен!$C$2:$C$61,A29)</f>
        <v/>
      </c>
    </row>
    <row r="30">
      <c r="A30" s="5" t="inlineStr">
        <is>
          <t>Мекеме, ұйым</t>
        </is>
      </c>
      <c r="B30" s="4">
        <f>COUNTIF(Серуен!$C$2:$C$61,A30)</f>
        <v/>
      </c>
    </row>
    <row r="31">
      <c r="A31" s="5" t="inlineStr">
        <is>
          <t>Көше, аялдама</t>
        </is>
      </c>
      <c r="B31" s="4">
        <f>COUNTIF(Серуен!$C$2:$C$61,A31)</f>
        <v/>
      </c>
    </row>
    <row r="32">
      <c r="A32" s="5" t="inlineStr">
        <is>
          <t>Жарнама, баннер</t>
        </is>
      </c>
      <c r="B32" s="4">
        <f>COUNTIF(Серуен!$C$2:$C$61,A32)</f>
        <v/>
      </c>
    </row>
    <row r="33">
      <c r="A33" s="5" t="inlineStr">
        <is>
          <t>Басқа</t>
        </is>
      </c>
      <c r="B33" s="4">
        <f>COUNTIF(Серуен!$C$2:$C$61,A33)</f>
        <v/>
      </c>
    </row>
  </sheetData>
  <pageMargins left="0.75" right="0.75" top="1" bottom="1" header="0.5" footer="0.5"/>
  <pageSetup orientation="landscape" paperSize="9"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2026-10-04T15:06:10Z</dcterms:created>
  <dcterms:modified xmlns:dcterms="http://purl.org/dc/terms/" xmlns:xsi="http://www.w3.org/2001/XMLSchema-instance" xsi:type="dcterms:W3CDTF">2026-10-04T15:06:10Z</dcterms:modified>
</cp:coreProperties>
</file>